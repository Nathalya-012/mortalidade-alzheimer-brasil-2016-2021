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14be7dba2fa50b/Documentos/faculdade/tcc/Github/"/>
    </mc:Choice>
  </mc:AlternateContent>
  <xr:revisionPtr revIDLastSave="0" documentId="8_{86C15241-B758-4A7F-8C4B-2710309FD1B6}" xr6:coauthVersionLast="47" xr6:coauthVersionMax="47" xr10:uidLastSave="{00000000-0000-0000-0000-000000000000}"/>
  <bookViews>
    <workbookView xWindow="-108" yWindow="-108" windowWidth="23256" windowHeight="12456" xr2:uid="{27593E0B-17E2-48B8-963B-AFB74FB916A2}"/>
  </bookViews>
  <sheets>
    <sheet name="centro-oe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7" i="1" l="1"/>
  <c r="X87" i="1" s="1"/>
  <c r="N87" i="1"/>
  <c r="O87" i="1" s="1"/>
  <c r="E87" i="1"/>
  <c r="F87" i="1" s="1"/>
  <c r="W86" i="1"/>
  <c r="X86" i="1" s="1"/>
  <c r="N86" i="1"/>
  <c r="O86" i="1" s="1"/>
  <c r="E86" i="1"/>
  <c r="F86" i="1" s="1"/>
  <c r="W85" i="1"/>
  <c r="X85" i="1" s="1"/>
  <c r="N85" i="1"/>
  <c r="O85" i="1" s="1"/>
  <c r="E85" i="1"/>
  <c r="F85" i="1" s="1"/>
  <c r="W84" i="1"/>
  <c r="X84" i="1" s="1"/>
  <c r="N84" i="1"/>
  <c r="O84" i="1" s="1"/>
  <c r="E84" i="1"/>
  <c r="F84" i="1" s="1"/>
  <c r="W83" i="1"/>
  <c r="X83" i="1" s="1"/>
  <c r="N83" i="1"/>
  <c r="O83" i="1" s="1"/>
  <c r="E83" i="1"/>
  <c r="F83" i="1" s="1"/>
  <c r="AB82" i="1"/>
  <c r="AA82" i="1"/>
  <c r="Z82" i="1"/>
  <c r="W82" i="1"/>
  <c r="X82" i="1" s="1"/>
  <c r="S82" i="1"/>
  <c r="R82" i="1"/>
  <c r="Q82" i="1"/>
  <c r="N82" i="1"/>
  <c r="O82" i="1" s="1"/>
  <c r="J82" i="1"/>
  <c r="I82" i="1"/>
  <c r="H82" i="1"/>
  <c r="E82" i="1"/>
  <c r="F82" i="1" s="1"/>
  <c r="W81" i="1"/>
  <c r="X81" i="1" s="1"/>
  <c r="O81" i="1"/>
  <c r="N81" i="1"/>
  <c r="E81" i="1"/>
  <c r="F81" i="1" s="1"/>
  <c r="W80" i="1"/>
  <c r="X80" i="1" s="1"/>
  <c r="N80" i="1"/>
  <c r="O80" i="1" s="1"/>
  <c r="F80" i="1"/>
  <c r="E80" i="1"/>
  <c r="W79" i="1"/>
  <c r="X79" i="1" s="1"/>
  <c r="N79" i="1"/>
  <c r="O79" i="1" s="1"/>
  <c r="E79" i="1"/>
  <c r="F79" i="1" s="1"/>
  <c r="X78" i="1"/>
  <c r="W78" i="1"/>
  <c r="N78" i="1"/>
  <c r="O78" i="1" s="1"/>
  <c r="E78" i="1"/>
  <c r="F78" i="1" s="1"/>
  <c r="W77" i="1"/>
  <c r="X77" i="1" s="1"/>
  <c r="O77" i="1"/>
  <c r="N77" i="1"/>
  <c r="E77" i="1"/>
  <c r="F77" i="1" s="1"/>
  <c r="AB76" i="1"/>
  <c r="AA76" i="1"/>
  <c r="Z76" i="1"/>
  <c r="W76" i="1"/>
  <c r="X76" i="1" s="1"/>
  <c r="S76" i="1"/>
  <c r="R76" i="1"/>
  <c r="Q76" i="1"/>
  <c r="N76" i="1"/>
  <c r="O76" i="1" s="1"/>
  <c r="J76" i="1"/>
  <c r="I76" i="1"/>
  <c r="H76" i="1"/>
  <c r="F76" i="1"/>
  <c r="E76" i="1"/>
  <c r="W75" i="1"/>
  <c r="X75" i="1" s="1"/>
  <c r="N75" i="1"/>
  <c r="O75" i="1" s="1"/>
  <c r="E75" i="1"/>
  <c r="F75" i="1" s="1"/>
  <c r="X74" i="1"/>
  <c r="W74" i="1"/>
  <c r="N74" i="1"/>
  <c r="O74" i="1" s="1"/>
  <c r="E74" i="1"/>
  <c r="F74" i="1" s="1"/>
  <c r="W73" i="1"/>
  <c r="X73" i="1" s="1"/>
  <c r="O73" i="1"/>
  <c r="N73" i="1"/>
  <c r="E73" i="1"/>
  <c r="F73" i="1" s="1"/>
  <c r="W72" i="1"/>
  <c r="X72" i="1" s="1"/>
  <c r="N72" i="1"/>
  <c r="O72" i="1" s="1"/>
  <c r="F72" i="1"/>
  <c r="E72" i="1"/>
  <c r="W71" i="1"/>
  <c r="X71" i="1" s="1"/>
  <c r="N71" i="1"/>
  <c r="O71" i="1" s="1"/>
  <c r="E71" i="1"/>
  <c r="F71" i="1" s="1"/>
  <c r="AB70" i="1"/>
  <c r="AA70" i="1"/>
  <c r="Z70" i="1"/>
  <c r="W70" i="1"/>
  <c r="X70" i="1" s="1"/>
  <c r="S70" i="1"/>
  <c r="R70" i="1"/>
  <c r="Q70" i="1"/>
  <c r="O70" i="1"/>
  <c r="N70" i="1"/>
  <c r="J70" i="1"/>
  <c r="I70" i="1"/>
  <c r="H70" i="1"/>
  <c r="E70" i="1"/>
  <c r="F70" i="1" s="1"/>
  <c r="X69" i="1"/>
  <c r="W69" i="1"/>
  <c r="N69" i="1"/>
  <c r="O69" i="1" s="1"/>
  <c r="E69" i="1"/>
  <c r="F69" i="1" s="1"/>
  <c r="W68" i="1"/>
  <c r="X68" i="1" s="1"/>
  <c r="O68" i="1"/>
  <c r="N68" i="1"/>
  <c r="E68" i="1"/>
  <c r="F68" i="1" s="1"/>
  <c r="W67" i="1"/>
  <c r="X67" i="1" s="1"/>
  <c r="N67" i="1"/>
  <c r="O67" i="1" s="1"/>
  <c r="F67" i="1"/>
  <c r="E67" i="1"/>
  <c r="W66" i="1"/>
  <c r="X66" i="1" s="1"/>
  <c r="N66" i="1"/>
  <c r="O66" i="1" s="1"/>
  <c r="E66" i="1"/>
  <c r="F66" i="1" s="1"/>
  <c r="X65" i="1"/>
  <c r="W65" i="1"/>
  <c r="N65" i="1"/>
  <c r="O65" i="1" s="1"/>
  <c r="E65" i="1"/>
  <c r="F65" i="1" s="1"/>
  <c r="AB64" i="1"/>
  <c r="AA64" i="1"/>
  <c r="Z64" i="1"/>
  <c r="X64" i="1"/>
  <c r="W64" i="1"/>
  <c r="S64" i="1"/>
  <c r="R64" i="1"/>
  <c r="Q64" i="1"/>
  <c r="N64" i="1"/>
  <c r="O64" i="1" s="1"/>
  <c r="J64" i="1"/>
  <c r="I64" i="1"/>
  <c r="H64" i="1"/>
  <c r="E64" i="1"/>
  <c r="F64" i="1" s="1"/>
  <c r="W57" i="1"/>
  <c r="X57" i="1" s="1"/>
  <c r="N57" i="1"/>
  <c r="O57" i="1" s="1"/>
  <c r="F57" i="1"/>
  <c r="E57" i="1"/>
  <c r="W56" i="1"/>
  <c r="X56" i="1" s="1"/>
  <c r="N56" i="1"/>
  <c r="O56" i="1" s="1"/>
  <c r="E56" i="1"/>
  <c r="F56" i="1" s="1"/>
  <c r="W55" i="1"/>
  <c r="X55" i="1" s="1"/>
  <c r="N55" i="1"/>
  <c r="O55" i="1" s="1"/>
  <c r="E55" i="1"/>
  <c r="F55" i="1" s="1"/>
  <c r="W54" i="1"/>
  <c r="X54" i="1" s="1"/>
  <c r="O54" i="1"/>
  <c r="N54" i="1"/>
  <c r="E54" i="1"/>
  <c r="F54" i="1" s="1"/>
  <c r="W53" i="1"/>
  <c r="X53" i="1" s="1"/>
  <c r="N53" i="1"/>
  <c r="O53" i="1" s="1"/>
  <c r="F53" i="1"/>
  <c r="E53" i="1"/>
  <c r="AB52" i="1"/>
  <c r="AA52" i="1"/>
  <c r="Z52" i="1"/>
  <c r="W52" i="1"/>
  <c r="X52" i="1" s="1"/>
  <c r="S52" i="1"/>
  <c r="R52" i="1"/>
  <c r="Q52" i="1"/>
  <c r="N52" i="1"/>
  <c r="O52" i="1" s="1"/>
  <c r="J52" i="1"/>
  <c r="I52" i="1"/>
  <c r="H52" i="1"/>
  <c r="F52" i="1"/>
  <c r="E52" i="1"/>
  <c r="X51" i="1"/>
  <c r="W51" i="1"/>
  <c r="N51" i="1"/>
  <c r="O51" i="1" s="1"/>
  <c r="E51" i="1"/>
  <c r="F51" i="1" s="1"/>
  <c r="X50" i="1"/>
  <c r="W50" i="1"/>
  <c r="O50" i="1"/>
  <c r="N50" i="1"/>
  <c r="E50" i="1"/>
  <c r="F50" i="1" s="1"/>
  <c r="W49" i="1"/>
  <c r="X49" i="1" s="1"/>
  <c r="O49" i="1"/>
  <c r="N49" i="1"/>
  <c r="F49" i="1"/>
  <c r="E49" i="1"/>
  <c r="W48" i="1"/>
  <c r="X48" i="1" s="1"/>
  <c r="N48" i="1"/>
  <c r="O48" i="1" s="1"/>
  <c r="F48" i="1"/>
  <c r="E48" i="1"/>
  <c r="W47" i="1"/>
  <c r="X47" i="1" s="1"/>
  <c r="N47" i="1"/>
  <c r="O47" i="1" s="1"/>
  <c r="E47" i="1"/>
  <c r="F47" i="1" s="1"/>
  <c r="AB46" i="1"/>
  <c r="AA46" i="1"/>
  <c r="Z46" i="1"/>
  <c r="W46" i="1"/>
  <c r="X46" i="1" s="1"/>
  <c r="S46" i="1"/>
  <c r="R46" i="1"/>
  <c r="Q46" i="1"/>
  <c r="O46" i="1"/>
  <c r="N46" i="1"/>
  <c r="J46" i="1"/>
  <c r="I46" i="1"/>
  <c r="H46" i="1"/>
  <c r="E46" i="1"/>
  <c r="F46" i="1" s="1"/>
  <c r="W45" i="1"/>
  <c r="X45" i="1" s="1"/>
  <c r="O45" i="1"/>
  <c r="N45" i="1"/>
  <c r="E45" i="1"/>
  <c r="F45" i="1" s="1"/>
  <c r="W44" i="1"/>
  <c r="X44" i="1" s="1"/>
  <c r="N44" i="1"/>
  <c r="O44" i="1" s="1"/>
  <c r="F44" i="1"/>
  <c r="E44" i="1"/>
  <c r="W43" i="1"/>
  <c r="X43" i="1" s="1"/>
  <c r="N43" i="1"/>
  <c r="O43" i="1" s="1"/>
  <c r="E43" i="1"/>
  <c r="F43" i="1" s="1"/>
  <c r="X42" i="1"/>
  <c r="W42" i="1"/>
  <c r="N42" i="1"/>
  <c r="O42" i="1" s="1"/>
  <c r="E42" i="1"/>
  <c r="F42" i="1" s="1"/>
  <c r="W41" i="1"/>
  <c r="X41" i="1" s="1"/>
  <c r="O41" i="1"/>
  <c r="N41" i="1"/>
  <c r="E41" i="1"/>
  <c r="F41" i="1" s="1"/>
  <c r="AB40" i="1"/>
  <c r="AA40" i="1"/>
  <c r="Z40" i="1"/>
  <c r="X40" i="1"/>
  <c r="W40" i="1"/>
  <c r="S40" i="1"/>
  <c r="R40" i="1"/>
  <c r="Q40" i="1"/>
  <c r="N40" i="1"/>
  <c r="O40" i="1" s="1"/>
  <c r="J40" i="1"/>
  <c r="I40" i="1"/>
  <c r="H40" i="1"/>
  <c r="F40" i="1"/>
  <c r="E40" i="1"/>
  <c r="W39" i="1"/>
  <c r="X39" i="1" s="1"/>
  <c r="N39" i="1"/>
  <c r="O39" i="1" s="1"/>
  <c r="F39" i="1"/>
  <c r="E39" i="1"/>
  <c r="X38" i="1"/>
  <c r="W38" i="1"/>
  <c r="N38" i="1"/>
  <c r="O38" i="1" s="1"/>
  <c r="E38" i="1"/>
  <c r="F38" i="1" s="1"/>
  <c r="X37" i="1"/>
  <c r="W37" i="1"/>
  <c r="O37" i="1"/>
  <c r="N37" i="1"/>
  <c r="E37" i="1"/>
  <c r="F37" i="1" s="1"/>
  <c r="W36" i="1"/>
  <c r="X36" i="1" s="1"/>
  <c r="O36" i="1"/>
  <c r="N36" i="1"/>
  <c r="F36" i="1"/>
  <c r="E36" i="1"/>
  <c r="W35" i="1"/>
  <c r="X35" i="1" s="1"/>
  <c r="N35" i="1"/>
  <c r="O35" i="1" s="1"/>
  <c r="F35" i="1"/>
  <c r="E35" i="1"/>
  <c r="AB34" i="1"/>
  <c r="AA34" i="1"/>
  <c r="Z34" i="1"/>
  <c r="W34" i="1"/>
  <c r="X34" i="1" s="1"/>
  <c r="S34" i="1"/>
  <c r="R34" i="1"/>
  <c r="Q34" i="1"/>
  <c r="N34" i="1"/>
  <c r="O34" i="1" s="1"/>
  <c r="J34" i="1"/>
  <c r="I34" i="1"/>
  <c r="H34" i="1"/>
  <c r="E34" i="1"/>
  <c r="F34" i="1" s="1"/>
  <c r="X26" i="1"/>
  <c r="W26" i="1"/>
  <c r="N26" i="1"/>
  <c r="O26" i="1" s="1"/>
  <c r="E26" i="1"/>
  <c r="F26" i="1" s="1"/>
  <c r="W25" i="1"/>
  <c r="X25" i="1" s="1"/>
  <c r="O25" i="1"/>
  <c r="N25" i="1"/>
  <c r="E25" i="1"/>
  <c r="F25" i="1" s="1"/>
  <c r="W24" i="1"/>
  <c r="X24" i="1" s="1"/>
  <c r="N24" i="1"/>
  <c r="O24" i="1" s="1"/>
  <c r="F24" i="1"/>
  <c r="E24" i="1"/>
  <c r="W23" i="1"/>
  <c r="X23" i="1" s="1"/>
  <c r="N23" i="1"/>
  <c r="O23" i="1" s="1"/>
  <c r="E23" i="1"/>
  <c r="F23" i="1" s="1"/>
  <c r="X22" i="1"/>
  <c r="W22" i="1"/>
  <c r="N22" i="1"/>
  <c r="O22" i="1" s="1"/>
  <c r="E22" i="1"/>
  <c r="F22" i="1" s="1"/>
  <c r="AB21" i="1"/>
  <c r="AA21" i="1"/>
  <c r="Z21" i="1"/>
  <c r="X21" i="1"/>
  <c r="W21" i="1"/>
  <c r="S21" i="1"/>
  <c r="R21" i="1"/>
  <c r="Q21" i="1"/>
  <c r="N21" i="1"/>
  <c r="O21" i="1" s="1"/>
  <c r="J21" i="1"/>
  <c r="I21" i="1"/>
  <c r="H21" i="1"/>
  <c r="E21" i="1"/>
  <c r="F21" i="1" s="1"/>
  <c r="W20" i="1"/>
  <c r="X20" i="1" s="1"/>
  <c r="O20" i="1"/>
  <c r="N20" i="1"/>
  <c r="E20" i="1"/>
  <c r="F20" i="1" s="1"/>
  <c r="W19" i="1"/>
  <c r="X19" i="1" s="1"/>
  <c r="N19" i="1"/>
  <c r="O19" i="1" s="1"/>
  <c r="F19" i="1"/>
  <c r="E19" i="1"/>
  <c r="W18" i="1"/>
  <c r="X18" i="1" s="1"/>
  <c r="N18" i="1"/>
  <c r="O18" i="1" s="1"/>
  <c r="E18" i="1"/>
  <c r="F18" i="1" s="1"/>
  <c r="X17" i="1"/>
  <c r="W17" i="1"/>
  <c r="N17" i="1"/>
  <c r="O17" i="1" s="1"/>
  <c r="E17" i="1"/>
  <c r="F17" i="1" s="1"/>
  <c r="W16" i="1"/>
  <c r="X16" i="1" s="1"/>
  <c r="O16" i="1"/>
  <c r="N16" i="1"/>
  <c r="E16" i="1"/>
  <c r="F16" i="1" s="1"/>
  <c r="AB15" i="1"/>
  <c r="AA15" i="1"/>
  <c r="Z15" i="1"/>
  <c r="W15" i="1"/>
  <c r="X15" i="1" s="1"/>
  <c r="S15" i="1"/>
  <c r="R15" i="1"/>
  <c r="Q15" i="1"/>
  <c r="N15" i="1"/>
  <c r="O15" i="1" s="1"/>
  <c r="J15" i="1"/>
  <c r="I15" i="1"/>
  <c r="H15" i="1"/>
  <c r="F15" i="1"/>
  <c r="E15" i="1"/>
  <c r="W14" i="1"/>
  <c r="X14" i="1" s="1"/>
  <c r="N14" i="1"/>
  <c r="O14" i="1" s="1"/>
  <c r="E14" i="1"/>
  <c r="F14" i="1" s="1"/>
  <c r="X13" i="1"/>
  <c r="W13" i="1"/>
  <c r="N13" i="1"/>
  <c r="O13" i="1" s="1"/>
  <c r="E13" i="1"/>
  <c r="F13" i="1" s="1"/>
  <c r="W12" i="1"/>
  <c r="X12" i="1" s="1"/>
  <c r="O12" i="1"/>
  <c r="N12" i="1"/>
  <c r="E12" i="1"/>
  <c r="F12" i="1" s="1"/>
  <c r="W11" i="1"/>
  <c r="X11" i="1" s="1"/>
  <c r="N11" i="1"/>
  <c r="O11" i="1" s="1"/>
  <c r="F11" i="1"/>
  <c r="E11" i="1"/>
  <c r="W10" i="1"/>
  <c r="X10" i="1" s="1"/>
  <c r="N10" i="1"/>
  <c r="O10" i="1" s="1"/>
  <c r="E10" i="1"/>
  <c r="F10" i="1" s="1"/>
  <c r="AB9" i="1"/>
  <c r="AA9" i="1"/>
  <c r="Z9" i="1"/>
  <c r="W9" i="1"/>
  <c r="X9" i="1" s="1"/>
  <c r="S9" i="1"/>
  <c r="R9" i="1"/>
  <c r="Q9" i="1"/>
  <c r="O9" i="1"/>
  <c r="N9" i="1"/>
  <c r="J9" i="1"/>
  <c r="I9" i="1"/>
  <c r="H9" i="1"/>
  <c r="E9" i="1"/>
  <c r="F9" i="1" s="1"/>
  <c r="X8" i="1"/>
  <c r="W8" i="1"/>
  <c r="N8" i="1"/>
  <c r="O8" i="1" s="1"/>
  <c r="E8" i="1"/>
  <c r="F8" i="1" s="1"/>
  <c r="W7" i="1"/>
  <c r="X7" i="1" s="1"/>
  <c r="O7" i="1"/>
  <c r="N7" i="1"/>
  <c r="E7" i="1"/>
  <c r="F7" i="1" s="1"/>
  <c r="W6" i="1"/>
  <c r="X6" i="1" s="1"/>
  <c r="N6" i="1"/>
  <c r="O6" i="1" s="1"/>
  <c r="F6" i="1"/>
  <c r="E6" i="1"/>
  <c r="W5" i="1"/>
  <c r="X5" i="1" s="1"/>
  <c r="N5" i="1"/>
  <c r="O5" i="1" s="1"/>
  <c r="E5" i="1"/>
  <c r="F5" i="1" s="1"/>
  <c r="X4" i="1"/>
  <c r="W4" i="1"/>
  <c r="N4" i="1"/>
  <c r="O4" i="1" s="1"/>
  <c r="E4" i="1"/>
  <c r="F4" i="1" s="1"/>
  <c r="AB3" i="1"/>
  <c r="AA3" i="1"/>
  <c r="Z3" i="1"/>
  <c r="X3" i="1"/>
  <c r="W3" i="1"/>
  <c r="S3" i="1"/>
  <c r="R3" i="1"/>
  <c r="Q3" i="1"/>
  <c r="N3" i="1"/>
  <c r="O3" i="1" s="1"/>
  <c r="J3" i="1"/>
  <c r="I3" i="1"/>
  <c r="H3" i="1"/>
  <c r="E3" i="1"/>
  <c r="F3" i="1" s="1"/>
</calcChain>
</file>

<file path=xl/sharedStrings.xml><?xml version="1.0" encoding="utf-8"?>
<sst xmlns="http://schemas.openxmlformats.org/spreadsheetml/2006/main" count="1317" uniqueCount="346">
  <si>
    <t>Centro-Oeste</t>
  </si>
  <si>
    <t>Geral</t>
  </si>
  <si>
    <t>Feminina</t>
  </si>
  <si>
    <t>Masculina</t>
  </si>
  <si>
    <r>
      <t xml:space="preserve">Regressão log-linear geral </t>
    </r>
    <r>
      <rPr>
        <b/>
        <sz val="8"/>
        <color rgb="FFFF0000"/>
        <rFont val="Garamond"/>
        <family val="1"/>
      </rPr>
      <t>Goiás</t>
    </r>
  </si>
  <si>
    <r>
      <t xml:space="preserve">Regressão log-linear feminino </t>
    </r>
    <r>
      <rPr>
        <b/>
        <sz val="8"/>
        <color rgb="FFFF0000"/>
        <rFont val="Garamond"/>
        <family val="1"/>
      </rPr>
      <t>Goiás</t>
    </r>
  </si>
  <si>
    <r>
      <t xml:space="preserve">Regressão log-linear Masculino </t>
    </r>
    <r>
      <rPr>
        <b/>
        <sz val="8"/>
        <color rgb="FFFF0000"/>
        <rFont val="Garamond"/>
        <family val="1"/>
      </rPr>
      <t>Goiás</t>
    </r>
  </si>
  <si>
    <r>
      <t xml:space="preserve">Regressão log-linear geral </t>
    </r>
    <r>
      <rPr>
        <b/>
        <sz val="8"/>
        <color rgb="FFFF0000"/>
        <rFont val="Garamond"/>
        <family val="1"/>
      </rPr>
      <t>Mato grosso</t>
    </r>
  </si>
  <si>
    <r>
      <t xml:space="preserve">Regressão log-linear feminino </t>
    </r>
    <r>
      <rPr>
        <b/>
        <sz val="8"/>
        <color rgb="FFFF0000"/>
        <rFont val="Garamond"/>
        <family val="1"/>
      </rPr>
      <t>Mato grosso</t>
    </r>
  </si>
  <si>
    <r>
      <t xml:space="preserve">Regressão log-linear Masculino </t>
    </r>
    <r>
      <rPr>
        <b/>
        <sz val="8"/>
        <color rgb="FFFF0000"/>
        <rFont val="Garamond"/>
        <family val="1"/>
      </rPr>
      <t>Mato grosso</t>
    </r>
  </si>
  <si>
    <r>
      <t xml:space="preserve">Regressão log-linear geral </t>
    </r>
    <r>
      <rPr>
        <b/>
        <sz val="8"/>
        <color rgb="FFFF0000"/>
        <rFont val="Garamond"/>
        <family val="1"/>
      </rPr>
      <t>Mato grosso do Sul</t>
    </r>
  </si>
  <si>
    <r>
      <t xml:space="preserve">Regressão log-linear feminino </t>
    </r>
    <r>
      <rPr>
        <b/>
        <sz val="8"/>
        <color rgb="FFFF0000"/>
        <rFont val="Garamond"/>
        <family val="1"/>
      </rPr>
      <t>Mato grosso do Sul</t>
    </r>
  </si>
  <si>
    <r>
      <t xml:space="preserve">Regressão log-linear Masculino </t>
    </r>
    <r>
      <rPr>
        <b/>
        <sz val="8"/>
        <color rgb="FFFF0000"/>
        <rFont val="Garamond"/>
        <family val="1"/>
      </rPr>
      <t>Mato grosso do Sul</t>
    </r>
  </si>
  <si>
    <r>
      <t xml:space="preserve">Regressão log-linear geral </t>
    </r>
    <r>
      <rPr>
        <b/>
        <sz val="8"/>
        <color rgb="FFFF0000"/>
        <rFont val="Garamond"/>
        <family val="1"/>
      </rPr>
      <t xml:space="preserve">Distrito federal </t>
    </r>
  </si>
  <si>
    <r>
      <t xml:space="preserve">Regressão log-linear feminino </t>
    </r>
    <r>
      <rPr>
        <b/>
        <sz val="8"/>
        <color rgb="FFFF0000"/>
        <rFont val="Garamond"/>
        <family val="1"/>
      </rPr>
      <t>Distrito federal</t>
    </r>
  </si>
  <si>
    <r>
      <t xml:space="preserve">Regressão log-linear Masculino </t>
    </r>
    <r>
      <rPr>
        <b/>
        <sz val="8"/>
        <color rgb="FFFF0000"/>
        <rFont val="Garamond"/>
        <family val="1"/>
      </rPr>
      <t>Distrito federal</t>
    </r>
  </si>
  <si>
    <t>Estados</t>
  </si>
  <si>
    <t>ano</t>
  </si>
  <si>
    <t>População</t>
  </si>
  <si>
    <t>óbito</t>
  </si>
  <si>
    <t>Mortalidade /100000 hab.</t>
  </si>
  <si>
    <t>logaritimo natural</t>
  </si>
  <si>
    <t>coeficiente de regressão</t>
  </si>
  <si>
    <t>VPA%</t>
  </si>
  <si>
    <t>IC95% minimo</t>
  </si>
  <si>
    <t>IC95% máximo</t>
  </si>
  <si>
    <t>p-valor</t>
  </si>
  <si>
    <t>Fontes de variação</t>
  </si>
  <si>
    <t>GL</t>
  </si>
  <si>
    <t>SQ</t>
  </si>
  <si>
    <t>QM</t>
  </si>
  <si>
    <t>Goiás</t>
  </si>
  <si>
    <t>Regressão</t>
  </si>
  <si>
    <t>0.1018</t>
  </si>
  <si>
    <t>0.1565</t>
  </si>
  <si>
    <t>0.0460</t>
  </si>
  <si>
    <t>0.0489</t>
  </si>
  <si>
    <t>Erro</t>
  </si>
  <si>
    <t>0.0480</t>
  </si>
  <si>
    <t>0.0120</t>
  </si>
  <si>
    <t>0.0066</t>
  </si>
  <si>
    <t>0.0016</t>
  </si>
  <si>
    <t>0.2112</t>
  </si>
  <si>
    <t>0.0528</t>
  </si>
  <si>
    <t>0.0163</t>
  </si>
  <si>
    <t>0.0041</t>
  </si>
  <si>
    <t>Total</t>
  </si>
  <si>
    <t>---</t>
  </si>
  <si>
    <t>0.1499</t>
  </si>
  <si>
    <t>0.1631</t>
  </si>
  <si>
    <t>0.2572</t>
  </si>
  <si>
    <t>0.0651</t>
  </si>
  <si>
    <t>F (regressão) =</t>
  </si>
  <si>
    <t>p = 0.0227</t>
  </si>
  <si>
    <t>p = 0.0336</t>
  </si>
  <si>
    <t>p = 0.0125</t>
  </si>
  <si>
    <t>8.4794</t>
  </si>
  <si>
    <t>p = 0.0438</t>
  </si>
  <si>
    <t>95.3257</t>
  </si>
  <si>
    <t>p = 0.0015</t>
  </si>
  <si>
    <t>0.8718</t>
  </si>
  <si>
    <t>p = 0.5941</t>
  </si>
  <si>
    <t>12.0299</t>
  </si>
  <si>
    <t>p = 0.0264</t>
  </si>
  <si>
    <t>p = 0.0657</t>
  </si>
  <si>
    <t>p = 0.1772</t>
  </si>
  <si>
    <t>p = 0.6079</t>
  </si>
  <si>
    <t>p = 0.5977</t>
  </si>
  <si>
    <t>p = 0.6068</t>
  </si>
  <si>
    <t>Variável dependente =</t>
  </si>
  <si>
    <t>Coluna  2</t>
  </si>
  <si>
    <t>Coluna  3</t>
  </si>
  <si>
    <t>Coluna  4</t>
  </si>
  <si>
    <t>Mato Grosso</t>
  </si>
  <si>
    <t>Variável independente =</t>
  </si>
  <si>
    <t>Coluna  1</t>
  </si>
  <si>
    <t>Média (X) =</t>
  </si>
  <si>
    <t>3.5000</t>
  </si>
  <si>
    <t>Média (Y) =</t>
  </si>
  <si>
    <t>1.8083</t>
  </si>
  <si>
    <t>1.9217</t>
  </si>
  <si>
    <t>1.6735</t>
  </si>
  <si>
    <t>2.2350</t>
  </si>
  <si>
    <t>Coef. de Determinação (R2) =</t>
  </si>
  <si>
    <t xml:space="preserve">Coef. de Determinação (R2) </t>
  </si>
  <si>
    <t>0.6795</t>
  </si>
  <si>
    <t>0.9597</t>
  </si>
  <si>
    <t>0.1790</t>
  </si>
  <si>
    <t>0.7505</t>
  </si>
  <si>
    <t>R2 (ajustado) =</t>
  </si>
  <si>
    <t>0.5993</t>
  </si>
  <si>
    <t>0.9497</t>
  </si>
  <si>
    <t>-0.0263</t>
  </si>
  <si>
    <t>0.6881</t>
  </si>
  <si>
    <t>Coeficiente de Correlação =</t>
  </si>
  <si>
    <t>0.8243</t>
  </si>
  <si>
    <t>0.9797</t>
  </si>
  <si>
    <t>0.4230</t>
  </si>
  <si>
    <t>0.8663</t>
  </si>
  <si>
    <t>Mato Grosso do Sul</t>
  </si>
  <si>
    <t>Intercepto (a) =</t>
  </si>
  <si>
    <t>t = 18.6268</t>
  </si>
  <si>
    <t>p &lt; 0.0001</t>
  </si>
  <si>
    <t>t = 20.5243</t>
  </si>
  <si>
    <t>t = 16.2436</t>
  </si>
  <si>
    <t>1.5413</t>
  </si>
  <si>
    <t>t = 15.1074</t>
  </si>
  <si>
    <t>1.5907</t>
  </si>
  <si>
    <t>t = 42.1676</t>
  </si>
  <si>
    <t>1.4940</t>
  </si>
  <si>
    <t>t = 6.9844</t>
  </si>
  <si>
    <t>p = 0.0022</t>
  </si>
  <si>
    <t>2.0500</t>
  </si>
  <si>
    <t>t = 34.5411</t>
  </si>
  <si>
    <t>t = 27.5433</t>
  </si>
  <si>
    <t>t = 13.9744</t>
  </si>
  <si>
    <t>t = 26.2024</t>
  </si>
  <si>
    <t>t = 20.4926</t>
  </si>
  <si>
    <t>t = 17.0870</t>
  </si>
  <si>
    <t>Coef. de Regressão (b) =</t>
  </si>
  <si>
    <t>t = 3.6442</t>
  </si>
  <si>
    <t>p = 0.0219</t>
  </si>
  <si>
    <t>t = 3.1957</t>
  </si>
  <si>
    <t>p = 0.0330</t>
  </si>
  <si>
    <t>t = 4.4417</t>
  </si>
  <si>
    <t>p = 0.0113</t>
  </si>
  <si>
    <t>0.0763</t>
  </si>
  <si>
    <t>t = 2.9119</t>
  </si>
  <si>
    <t>p = 0.0435</t>
  </si>
  <si>
    <t>0.0946</t>
  </si>
  <si>
    <t>t = 9.7635</t>
  </si>
  <si>
    <t>p = 0.0006</t>
  </si>
  <si>
    <t>0.0513</t>
  </si>
  <si>
    <t>t = 0.9337</t>
  </si>
  <si>
    <t>p = 0.4033</t>
  </si>
  <si>
    <t>0.0529</t>
  </si>
  <si>
    <t>t = 3.4684</t>
  </si>
  <si>
    <t>p = 0.0256</t>
  </si>
  <si>
    <t>t = 2.5128</t>
  </si>
  <si>
    <t>p = 0.0658</t>
  </si>
  <si>
    <t>t = 1.6322</t>
  </si>
  <si>
    <t>p = 0.1779</t>
  </si>
  <si>
    <t>t = 0.9635</t>
  </si>
  <si>
    <t>p = 0.3898</t>
  </si>
  <si>
    <t>t = 0.5767</t>
  </si>
  <si>
    <t>p = 0.5950</t>
  </si>
  <si>
    <t>t = 0.9611</t>
  </si>
  <si>
    <t>p = 0.3909</t>
  </si>
  <si>
    <t>IC 95% (a)</t>
  </si>
  <si>
    <t>1.558 a 2.104</t>
  </si>
  <si>
    <t>1.761 a 2.312</t>
  </si>
  <si>
    <t>1.299 a 1.834</t>
  </si>
  <si>
    <t>1.258 a 1.825</t>
  </si>
  <si>
    <t>1.486 a 1.695</t>
  </si>
  <si>
    <t>0.900 a 2.088</t>
  </si>
  <si>
    <t>1.885 a 2.215</t>
  </si>
  <si>
    <t>2.007 a 2.457</t>
  </si>
  <si>
    <t>1.450 a 2.170</t>
  </si>
  <si>
    <t>2.002 a 2.477</t>
  </si>
  <si>
    <t>2.119 a 2.783</t>
  </si>
  <si>
    <t>1.624 a 2.254</t>
  </si>
  <si>
    <t>IC 95% (b)</t>
  </si>
  <si>
    <t>0.022 a 0.162</t>
  </si>
  <si>
    <t>0.011 a 0.152</t>
  </si>
  <si>
    <t>0.041 a 0.179</t>
  </si>
  <si>
    <t>0.004 a 0.149</t>
  </si>
  <si>
    <t>0.068 a 0.121</t>
  </si>
  <si>
    <t>-0.101 a 0.204</t>
  </si>
  <si>
    <t>0.011 a 0.095</t>
  </si>
  <si>
    <t>-0.005 a 0.110</t>
  </si>
  <si>
    <t>-0.038 a 0.147</t>
  </si>
  <si>
    <t>-0.040 a 0.082</t>
  </si>
  <si>
    <t>-0.068 a 0.103</t>
  </si>
  <si>
    <t>-0.053 a 0.109</t>
  </si>
  <si>
    <t>Equação</t>
  </si>
  <si>
    <t>Y' = a + bX</t>
  </si>
  <si>
    <t>Distrito Federal</t>
  </si>
  <si>
    <r>
      <t xml:space="preserve">Faixa Etária - </t>
    </r>
    <r>
      <rPr>
        <b/>
        <sz val="7"/>
        <color rgb="FFFF0000"/>
        <rFont val="Garamond"/>
        <family val="1"/>
      </rPr>
      <t>Feminino</t>
    </r>
  </si>
  <si>
    <t>60 - 69</t>
  </si>
  <si>
    <t>70 - 79</t>
  </si>
  <si>
    <t>80 ou mais</t>
  </si>
  <si>
    <r>
      <t xml:space="preserve">Regressão log-linear 60-69 </t>
    </r>
    <r>
      <rPr>
        <b/>
        <sz val="8"/>
        <color rgb="FFFF0000"/>
        <rFont val="Garamond"/>
        <family val="1"/>
      </rPr>
      <t>Goiás</t>
    </r>
  </si>
  <si>
    <r>
      <t xml:space="preserve">Regressão log-linear 70-79 </t>
    </r>
    <r>
      <rPr>
        <b/>
        <sz val="8"/>
        <color rgb="FFFF0000"/>
        <rFont val="Garamond"/>
        <family val="1"/>
      </rPr>
      <t>Goiás</t>
    </r>
  </si>
  <si>
    <r>
      <t xml:space="preserve">Regressão log-linear 80 - &gt; </t>
    </r>
    <r>
      <rPr>
        <b/>
        <sz val="8"/>
        <color rgb="FFFF0000"/>
        <rFont val="Garamond"/>
        <family val="1"/>
      </rPr>
      <t>Goiás</t>
    </r>
  </si>
  <si>
    <r>
      <t xml:space="preserve">Regressão log-linear 60-69 </t>
    </r>
    <r>
      <rPr>
        <b/>
        <sz val="8"/>
        <color rgb="FFFF0000"/>
        <rFont val="Garamond"/>
        <family val="1"/>
      </rPr>
      <t>Mato grosso</t>
    </r>
  </si>
  <si>
    <r>
      <t xml:space="preserve">Regressão log-linear 70-79 </t>
    </r>
    <r>
      <rPr>
        <b/>
        <sz val="8"/>
        <color rgb="FFFF0000"/>
        <rFont val="Garamond"/>
        <family val="1"/>
      </rPr>
      <t>Mato grosso</t>
    </r>
  </si>
  <si>
    <r>
      <t xml:space="preserve">Regressão log-linear 80 - &gt; </t>
    </r>
    <r>
      <rPr>
        <b/>
        <sz val="8"/>
        <color rgb="FFFF0000"/>
        <rFont val="Garamond"/>
        <family val="1"/>
      </rPr>
      <t>Mato grosso</t>
    </r>
  </si>
  <si>
    <r>
      <t xml:space="preserve">Regressão log-linear 60-69 </t>
    </r>
    <r>
      <rPr>
        <b/>
        <sz val="8"/>
        <color rgb="FFFF0000"/>
        <rFont val="Garamond"/>
        <family val="1"/>
      </rPr>
      <t>Mato grosso do Sul</t>
    </r>
  </si>
  <si>
    <r>
      <t xml:space="preserve">Regressão log-linear 70-79 </t>
    </r>
    <r>
      <rPr>
        <b/>
        <sz val="8"/>
        <color rgb="FFFF0000"/>
        <rFont val="Garamond"/>
        <family val="1"/>
      </rPr>
      <t>Mato grosso do Sul</t>
    </r>
  </si>
  <si>
    <r>
      <t xml:space="preserve">Regressão log-linear 80 - &gt; </t>
    </r>
    <r>
      <rPr>
        <b/>
        <sz val="8"/>
        <color rgb="FFFF0000"/>
        <rFont val="Garamond"/>
        <family val="1"/>
      </rPr>
      <t>Mato grosso do Sul</t>
    </r>
  </si>
  <si>
    <r>
      <t xml:space="preserve">Regressão log-linear 60-69 </t>
    </r>
    <r>
      <rPr>
        <b/>
        <sz val="8"/>
        <color rgb="FFFF0000"/>
        <rFont val="Garamond"/>
        <family val="1"/>
      </rPr>
      <t xml:space="preserve">Distrito federal </t>
    </r>
  </si>
  <si>
    <r>
      <t xml:space="preserve">Regressão log-linear 70-79 </t>
    </r>
    <r>
      <rPr>
        <b/>
        <sz val="8"/>
        <color rgb="FFFF0000"/>
        <rFont val="Garamond"/>
        <family val="1"/>
      </rPr>
      <t>Distrito federal</t>
    </r>
  </si>
  <si>
    <r>
      <t xml:space="preserve">Regressão log-linear 80 - &gt; </t>
    </r>
    <r>
      <rPr>
        <b/>
        <sz val="8"/>
        <color rgb="FFFF0000"/>
        <rFont val="Garamond"/>
        <family val="1"/>
      </rPr>
      <t>Distrito federal</t>
    </r>
  </si>
  <si>
    <t>p = 0.9866</t>
  </si>
  <si>
    <t>p = 0.2311</t>
  </si>
  <si>
    <t>p = 0.1730</t>
  </si>
  <si>
    <t>p = 0.1175</t>
  </si>
  <si>
    <t>p = 0.6538</t>
  </si>
  <si>
    <t>p = 0.0071</t>
  </si>
  <si>
    <t>p = 0.9254</t>
  </si>
  <si>
    <t>p = 0.8887</t>
  </si>
  <si>
    <t>p = 0.2075</t>
  </si>
  <si>
    <t>p = 0.8062</t>
  </si>
  <si>
    <t>p = 0.0235</t>
  </si>
  <si>
    <t>p = 0.6548</t>
  </si>
  <si>
    <t>t = 5.1640</t>
  </si>
  <si>
    <t>p = 0.0067</t>
  </si>
  <si>
    <t>t = 30.7997</t>
  </si>
  <si>
    <t>t = 58.4852</t>
  </si>
  <si>
    <t>t = -1.5133</t>
  </si>
  <si>
    <t>p = 0.2047</t>
  </si>
  <si>
    <t>t = 13.0728</t>
  </si>
  <si>
    <t>t = 108.2892</t>
  </si>
  <si>
    <t>t = 3.6867</t>
  </si>
  <si>
    <t>p = 0.0211</t>
  </si>
  <si>
    <t>t = 27.8594</t>
  </si>
  <si>
    <t>t = 84.4477</t>
  </si>
  <si>
    <t>t = 3.4175</t>
  </si>
  <si>
    <t>p = 0.0268</t>
  </si>
  <si>
    <t>t = 37.2259</t>
  </si>
  <si>
    <t>t = 41.5843</t>
  </si>
  <si>
    <t>t = -0.0138</t>
  </si>
  <si>
    <t>p = 0.9896</t>
  </si>
  <si>
    <t>t = 1.4091</t>
  </si>
  <si>
    <t>p = 0.2315</t>
  </si>
  <si>
    <t>t = 1.6528</t>
  </si>
  <si>
    <t>p = 0.1736</t>
  </si>
  <si>
    <t>t = 1.9852</t>
  </si>
  <si>
    <t>p = 0.1180</t>
  </si>
  <si>
    <t>t = -0.4853</t>
  </si>
  <si>
    <t>p = 0.6529</t>
  </si>
  <si>
    <t>t = 5.3858</t>
  </si>
  <si>
    <t>p = 0.0057</t>
  </si>
  <si>
    <t>t = 0.0960</t>
  </si>
  <si>
    <t>p = 0.9282</t>
  </si>
  <si>
    <t>t = 0.1419</t>
  </si>
  <si>
    <t>p = 0.8940</t>
  </si>
  <si>
    <t>t = 1.4996</t>
  </si>
  <si>
    <t>p = 0.2080</t>
  </si>
  <si>
    <t>t = -0.2528</t>
  </si>
  <si>
    <t>p = 0.8129</t>
  </si>
  <si>
    <t>t = -3.6052</t>
  </si>
  <si>
    <t>p = 0.0226</t>
  </si>
  <si>
    <t>t = -0.4837</t>
  </si>
  <si>
    <t>p = 0.6539</t>
  </si>
  <si>
    <t>0.768 a 2.553</t>
  </si>
  <si>
    <t>3.452 a 4.136</t>
  </si>
  <si>
    <t>5.701 a 6.269</t>
  </si>
  <si>
    <t>-7.866 a 2.316</t>
  </si>
  <si>
    <t>3.187 a 4.906</t>
  </si>
  <si>
    <t>5.581 a 5.874</t>
  </si>
  <si>
    <t>0.391 a 2.772</t>
  </si>
  <si>
    <t>3.540 a 4.324</t>
  </si>
  <si>
    <t>5.878 a 6.278</t>
  </si>
  <si>
    <t>0.305 a 2.944</t>
  </si>
  <si>
    <t>3.913 a 4.543</t>
  </si>
  <si>
    <t>6.070 a 6.939</t>
  </si>
  <si>
    <t>-0.230 a 0.228</t>
  </si>
  <si>
    <t>-0.043 a 0.132</t>
  </si>
  <si>
    <t>-0.030 a 0.116</t>
  </si>
  <si>
    <t>-0.372 a 2.242</t>
  </si>
  <si>
    <t>-0.259 a 0.182</t>
  </si>
  <si>
    <t>0.035 a 0.111</t>
  </si>
  <si>
    <t>-0.295 a 0.316</t>
  </si>
  <si>
    <t>-0.095 a 0.106</t>
  </si>
  <si>
    <t>-0.024 a 0.079</t>
  </si>
  <si>
    <t>-0.370 a 0.308</t>
  </si>
  <si>
    <t>-0.186 a -0.024</t>
  </si>
  <si>
    <t>-0.131 a 0.092</t>
  </si>
  <si>
    <r>
      <t xml:space="preserve">Faixa Etária - </t>
    </r>
    <r>
      <rPr>
        <b/>
        <sz val="7"/>
        <color rgb="FFFF0000"/>
        <rFont val="Garamond"/>
        <family val="1"/>
      </rPr>
      <t>Masculino</t>
    </r>
  </si>
  <si>
    <t>coeficente de regressão</t>
  </si>
  <si>
    <t>p = 0.1393</t>
  </si>
  <si>
    <t>p = 0.1513</t>
  </si>
  <si>
    <t>p = 0.0212</t>
  </si>
  <si>
    <t>p = 0.6013</t>
  </si>
  <si>
    <t>p = 0.7594</t>
  </si>
  <si>
    <t>p = 0.5866</t>
  </si>
  <si>
    <t>p = 0.0600</t>
  </si>
  <si>
    <t>p = 0.1568</t>
  </si>
  <si>
    <t>p = 0.8557</t>
  </si>
  <si>
    <t>p = 0.1790</t>
  </si>
  <si>
    <t>p = 0.7785</t>
  </si>
  <si>
    <t>p = 0.8767</t>
  </si>
  <si>
    <t>t = 2.3511</t>
  </si>
  <si>
    <t>p = 0.0784</t>
  </si>
  <si>
    <t>t = 36.7539</t>
  </si>
  <si>
    <t>t = 64.0325</t>
  </si>
  <si>
    <t>t = 8.7089</t>
  </si>
  <si>
    <t>p = 0.0010</t>
  </si>
  <si>
    <t>t = 13.4893</t>
  </si>
  <si>
    <t>t = 25.7738</t>
  </si>
  <si>
    <t>t = 2.8089</t>
  </si>
  <si>
    <t>p = 0.0483</t>
  </si>
  <si>
    <t>t = 15.9811</t>
  </si>
  <si>
    <t>t = 46.7942</t>
  </si>
  <si>
    <t>t = 5.7193</t>
  </si>
  <si>
    <t>p = 0.0046</t>
  </si>
  <si>
    <t>t = 11.1783</t>
  </si>
  <si>
    <t>t = 59.3434</t>
  </si>
  <si>
    <t>t = 1.8374</t>
  </si>
  <si>
    <t>p = 0.1399</t>
  </si>
  <si>
    <t>t = 1.7664</t>
  </si>
  <si>
    <t>p = 0.1520</t>
  </si>
  <si>
    <t>t = 3.7309</t>
  </si>
  <si>
    <t>p = 0.0203</t>
  </si>
  <si>
    <t>t = -0.9491</t>
  </si>
  <si>
    <t>p = 0.3963</t>
  </si>
  <si>
    <t>t = -0.3212</t>
  </si>
  <si>
    <t>p = 0.7642</t>
  </si>
  <si>
    <t>t = 0.9178</t>
  </si>
  <si>
    <t>p = 0.4106</t>
  </si>
  <si>
    <t>t = 2.6007</t>
  </si>
  <si>
    <t>t = 1.7361</t>
  </si>
  <si>
    <t>p = 0.1575</t>
  </si>
  <si>
    <t>t = -0.1847</t>
  </si>
  <si>
    <t>p = 0.8624</t>
  </si>
  <si>
    <t>t = -1.6238</t>
  </si>
  <si>
    <t>p = 0.1797</t>
  </si>
  <si>
    <t>t = -0.2929</t>
  </si>
  <si>
    <t>p = 0.7841</t>
  </si>
  <si>
    <t>t = -0.1573</t>
  </si>
  <si>
    <t>p = 0.8826</t>
  </si>
  <si>
    <t>-0.174 a 2.105</t>
  </si>
  <si>
    <t>3.531 a 4.109</t>
  </si>
  <si>
    <t>5.353 a 5.838</t>
  </si>
  <si>
    <t>1.322 a 2.558</t>
  </si>
  <si>
    <t>3.192 a 4.846</t>
  </si>
  <si>
    <t>4.963 a 6.161</t>
  </si>
  <si>
    <t>0.010 a 1.622</t>
  </si>
  <si>
    <t>2.928 a 4.160</t>
  </si>
  <si>
    <t>5.568 a 6.270</t>
  </si>
  <si>
    <t>1.047 a 3.021</t>
  </si>
  <si>
    <t>3.128 a 5.195</t>
  </si>
  <si>
    <t>6.002 a 6.591</t>
  </si>
  <si>
    <t>-0.099 a 0.486</t>
  </si>
  <si>
    <t>-0.027 a 0.121</t>
  </si>
  <si>
    <t>0.021 a 0.146</t>
  </si>
  <si>
    <t>-0.213 a 0.105</t>
  </si>
  <si>
    <t>-0.237 a 0.188</t>
  </si>
  <si>
    <t>-0.103 a 0.205</t>
  </si>
  <si>
    <t>-0.013 a 0.401</t>
  </si>
  <si>
    <t>-0.059 a 0.257</t>
  </si>
  <si>
    <t>-0.096 a 0.084</t>
  </si>
  <si>
    <t>-0.402 a 0.105</t>
  </si>
  <si>
    <t>-0.293 a 0.237</t>
  </si>
  <si>
    <t>-0.080 a 0.071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</si>
</sst>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Aptos Narrow"/>
      <family val="2"/>
      <scheme val="minor"/>
    </font>
    <font>
      <b/>
      <sz val="8"/>
      <color rgb="FF000000"/>
      <name val="Garamond"/>
      <family val="1"/>
    </font>
    <font>
      <b/>
      <sz val="8"/>
      <color theme="1"/>
      <name val="Garamond"/>
      <family val="1"/>
    </font>
    <font>
      <b/>
      <sz val="8"/>
      <color rgb="FFFF0000"/>
      <name val="Garamond"/>
      <family val="1"/>
    </font>
    <font>
      <b/>
      <sz val="7"/>
      <color rgb="FF000000"/>
      <name val="Garamond"/>
      <family val="1"/>
    </font>
    <font>
      <b/>
      <sz val="8"/>
      <color theme="1"/>
      <name val="Arial Nova"/>
      <family val="2"/>
    </font>
    <font>
      <b/>
      <sz val="7"/>
      <color theme="1"/>
      <name val="Garamond"/>
      <family val="1"/>
    </font>
    <font>
      <b/>
      <sz val="9"/>
      <color theme="1"/>
      <name val="Arial Nova"/>
      <family val="2"/>
    </font>
    <font>
      <b/>
      <sz val="7"/>
      <color rgb="FFFF0000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textRotation="90" wrapText="1"/>
    </xf>
    <xf numFmtId="0" fontId="1" fillId="3" borderId="6" xfId="0" applyFont="1" applyFill="1" applyBorder="1" applyAlignment="1">
      <alignment horizontal="center" vertical="center" wrapText="1"/>
    </xf>
    <xf numFmtId="2" fontId="4" fillId="3" borderId="9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2" fontId="5" fillId="4" borderId="9" xfId="0" applyNumberFormat="1" applyFont="1" applyFill="1" applyBorder="1" applyAlignment="1">
      <alignment horizontal="center" vertical="center" wrapText="1"/>
    </xf>
    <xf numFmtId="2" fontId="6" fillId="3" borderId="8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textRotation="90" wrapText="1"/>
    </xf>
    <xf numFmtId="164" fontId="2" fillId="3" borderId="11" xfId="0" applyNumberFormat="1" applyFont="1" applyFill="1" applyBorder="1" applyAlignment="1">
      <alignment horizontal="center" vertical="center" wrapText="1"/>
    </xf>
    <xf numFmtId="2" fontId="6" fillId="3" borderId="11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textRotation="90" wrapText="1"/>
    </xf>
    <xf numFmtId="164" fontId="2" fillId="3" borderId="5" xfId="0" applyNumberFormat="1" applyFont="1" applyFill="1" applyBorder="1" applyAlignment="1">
      <alignment horizontal="center" vertical="center" wrapText="1"/>
    </xf>
    <xf numFmtId="2" fontId="6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textRotation="90" wrapText="1"/>
    </xf>
    <xf numFmtId="0" fontId="1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textRotation="90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textRotation="90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164" fontId="2" fillId="5" borderId="11" xfId="0" applyNumberFormat="1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textRotation="90" wrapText="1"/>
    </xf>
    <xf numFmtId="0" fontId="4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65" fontId="6" fillId="3" borderId="8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textRotation="90" wrapText="1"/>
    </xf>
    <xf numFmtId="0" fontId="6" fillId="3" borderId="11" xfId="0" applyFont="1" applyFill="1" applyBorder="1" applyAlignment="1">
      <alignment horizontal="center" vertical="center" wrapText="1"/>
    </xf>
    <xf numFmtId="165" fontId="6" fillId="3" borderId="11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textRotation="90" wrapText="1"/>
    </xf>
    <xf numFmtId="0" fontId="6" fillId="3" borderId="5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textRotation="90" wrapText="1"/>
    </xf>
    <xf numFmtId="0" fontId="4" fillId="5" borderId="6" xfId="0" applyFont="1" applyFill="1" applyBorder="1" applyAlignment="1">
      <alignment horizontal="center" vertical="center" wrapText="1"/>
    </xf>
    <xf numFmtId="165" fontId="6" fillId="5" borderId="8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textRotation="90" wrapText="1"/>
    </xf>
    <xf numFmtId="165" fontId="6" fillId="5" borderId="11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textRotation="90" wrapText="1"/>
    </xf>
    <xf numFmtId="165" fontId="6" fillId="5" borderId="5" xfId="0" applyNumberFormat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/>
    <xf numFmtId="2" fontId="4" fillId="6" borderId="4" xfId="0" applyNumberFormat="1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164" fontId="6" fillId="3" borderId="8" xfId="0" applyNumberFormat="1" applyFont="1" applyFill="1" applyBorder="1" applyAlignment="1">
      <alignment horizontal="center" vertical="center" wrapText="1"/>
    </xf>
    <xf numFmtId="164" fontId="6" fillId="3" borderId="11" xfId="0" applyNumberFormat="1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275208</xdr:colOff>
      <xdr:row>19</xdr:row>
      <xdr:rowOff>77047</xdr:rowOff>
    </xdr:from>
    <xdr:to>
      <xdr:col>32</xdr:col>
      <xdr:colOff>276524</xdr:colOff>
      <xdr:row>30</xdr:row>
      <xdr:rowOff>138007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309EF9-8130-4D88-9C2A-96D5363D1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2468" y="3841327"/>
          <a:ext cx="2569256" cy="2171700"/>
        </a:xfrm>
        <a:prstGeom prst="rect">
          <a:avLst/>
        </a:prstGeom>
      </xdr:spPr>
    </xdr:pic>
    <xdr:clientData/>
  </xdr:twoCellAnchor>
  <xdr:twoCellAnchor editAs="oneCell">
    <xdr:from>
      <xdr:col>33</xdr:col>
      <xdr:colOff>125307</xdr:colOff>
      <xdr:row>19</xdr:row>
      <xdr:rowOff>77048</xdr:rowOff>
    </xdr:from>
    <xdr:to>
      <xdr:col>36</xdr:col>
      <xdr:colOff>338667</xdr:colOff>
      <xdr:row>31</xdr:row>
      <xdr:rowOff>32849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59DFA7-51FC-4224-9437-26CE19520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39147" y="3841328"/>
          <a:ext cx="2667000" cy="2257041"/>
        </a:xfrm>
        <a:prstGeom prst="rect">
          <a:avLst/>
        </a:prstGeom>
      </xdr:spPr>
    </xdr:pic>
    <xdr:clientData/>
  </xdr:twoCellAnchor>
  <xdr:twoCellAnchor editAs="oneCell">
    <xdr:from>
      <xdr:col>37</xdr:col>
      <xdr:colOff>342900</xdr:colOff>
      <xdr:row>19</xdr:row>
      <xdr:rowOff>25401</xdr:rowOff>
    </xdr:from>
    <xdr:to>
      <xdr:col>40</xdr:col>
      <xdr:colOff>275168</xdr:colOff>
      <xdr:row>31</xdr:row>
      <xdr:rowOff>82501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1758C80-65D6-4D9C-BBEF-BF64E79C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81880" y="3789681"/>
          <a:ext cx="2812628" cy="2358340"/>
        </a:xfrm>
        <a:prstGeom prst="rect">
          <a:avLst/>
        </a:prstGeom>
      </xdr:spPr>
    </xdr:pic>
    <xdr:clientData/>
  </xdr:twoCellAnchor>
  <xdr:twoCellAnchor editAs="oneCell">
    <xdr:from>
      <xdr:col>40</xdr:col>
      <xdr:colOff>592669</xdr:colOff>
      <xdr:row>19</xdr:row>
      <xdr:rowOff>25399</xdr:rowOff>
    </xdr:from>
    <xdr:to>
      <xdr:col>44</xdr:col>
      <xdr:colOff>169333</xdr:colOff>
      <xdr:row>31</xdr:row>
      <xdr:rowOff>173128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B03FF2D-F516-49AD-8F01-21F7681C8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412009" y="3789679"/>
          <a:ext cx="2898984" cy="2448969"/>
        </a:xfrm>
        <a:prstGeom prst="rect">
          <a:avLst/>
        </a:prstGeom>
      </xdr:spPr>
    </xdr:pic>
    <xdr:clientData/>
  </xdr:twoCellAnchor>
  <xdr:twoCellAnchor editAs="oneCell">
    <xdr:from>
      <xdr:col>45</xdr:col>
      <xdr:colOff>270935</xdr:colOff>
      <xdr:row>19</xdr:row>
      <xdr:rowOff>33866</xdr:rowOff>
    </xdr:from>
    <xdr:to>
      <xdr:col>48</xdr:col>
      <xdr:colOff>419471</xdr:colOff>
      <xdr:row>31</xdr:row>
      <xdr:rowOff>135467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732D006-3534-474B-8E8B-8B0D4D315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984095" y="3798146"/>
          <a:ext cx="2853636" cy="2402841"/>
        </a:xfrm>
        <a:prstGeom prst="rect">
          <a:avLst/>
        </a:prstGeom>
      </xdr:spPr>
    </xdr:pic>
    <xdr:clientData/>
  </xdr:twoCellAnchor>
  <xdr:twoCellAnchor editAs="oneCell">
    <xdr:from>
      <xdr:col>49</xdr:col>
      <xdr:colOff>338666</xdr:colOff>
      <xdr:row>19</xdr:row>
      <xdr:rowOff>33868</xdr:rowOff>
    </xdr:from>
    <xdr:to>
      <xdr:col>52</xdr:col>
      <xdr:colOff>473396</xdr:colOff>
      <xdr:row>31</xdr:row>
      <xdr:rowOff>152400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4F164A9-0176-40DE-8A2E-D55D0DE6F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13186" y="3798148"/>
          <a:ext cx="2877930" cy="2419772"/>
        </a:xfrm>
        <a:prstGeom prst="rect">
          <a:avLst/>
        </a:prstGeom>
      </xdr:spPr>
    </xdr:pic>
    <xdr:clientData/>
  </xdr:twoCellAnchor>
  <xdr:twoCellAnchor editAs="oneCell">
    <xdr:from>
      <xdr:col>53</xdr:col>
      <xdr:colOff>279400</xdr:colOff>
      <xdr:row>19</xdr:row>
      <xdr:rowOff>33867</xdr:rowOff>
    </xdr:from>
    <xdr:to>
      <xdr:col>56</xdr:col>
      <xdr:colOff>524933</xdr:colOff>
      <xdr:row>31</xdr:row>
      <xdr:rowOff>160164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4D2F5FC-0D60-43BC-927D-077701B9D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591480" y="3798147"/>
          <a:ext cx="2882053" cy="2427537"/>
        </a:xfrm>
        <a:prstGeom prst="rect">
          <a:avLst/>
        </a:prstGeom>
      </xdr:spPr>
    </xdr:pic>
    <xdr:clientData/>
  </xdr:twoCellAnchor>
  <xdr:twoCellAnchor editAs="oneCell">
    <xdr:from>
      <xdr:col>57</xdr:col>
      <xdr:colOff>135466</xdr:colOff>
      <xdr:row>19</xdr:row>
      <xdr:rowOff>59267</xdr:rowOff>
    </xdr:from>
    <xdr:to>
      <xdr:col>60</xdr:col>
      <xdr:colOff>372534</xdr:colOff>
      <xdr:row>31</xdr:row>
      <xdr:rowOff>128406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A69711B-3FF7-4CD6-BD6C-AC2A020C9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693666" y="3823547"/>
          <a:ext cx="2812628" cy="2370379"/>
        </a:xfrm>
        <a:prstGeom prst="rect">
          <a:avLst/>
        </a:prstGeom>
      </xdr:spPr>
    </xdr:pic>
    <xdr:clientData/>
  </xdr:twoCellAnchor>
  <xdr:twoCellAnchor editAs="oneCell">
    <xdr:from>
      <xdr:col>61</xdr:col>
      <xdr:colOff>127000</xdr:colOff>
      <xdr:row>19</xdr:row>
      <xdr:rowOff>33867</xdr:rowOff>
    </xdr:from>
    <xdr:to>
      <xdr:col>64</xdr:col>
      <xdr:colOff>493466</xdr:colOff>
      <xdr:row>31</xdr:row>
      <xdr:rowOff>169333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AF86107-265D-4C66-83EF-C66139CF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870360" y="3798147"/>
          <a:ext cx="2888686" cy="2436706"/>
        </a:xfrm>
        <a:prstGeom prst="rect">
          <a:avLst/>
        </a:prstGeom>
      </xdr:spPr>
    </xdr:pic>
    <xdr:clientData/>
  </xdr:twoCellAnchor>
  <xdr:twoCellAnchor editAs="oneCell">
    <xdr:from>
      <xdr:col>65</xdr:col>
      <xdr:colOff>169334</xdr:colOff>
      <xdr:row>19</xdr:row>
      <xdr:rowOff>67733</xdr:rowOff>
    </xdr:from>
    <xdr:to>
      <xdr:col>68</xdr:col>
      <xdr:colOff>516467</xdr:colOff>
      <xdr:row>31</xdr:row>
      <xdr:rowOff>186884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5E83CE4-B919-4ECC-8F4A-8C02D82B8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044514" y="3832013"/>
          <a:ext cx="2869353" cy="2420391"/>
        </a:xfrm>
        <a:prstGeom prst="rect">
          <a:avLst/>
        </a:prstGeom>
      </xdr:spPr>
    </xdr:pic>
    <xdr:clientData/>
  </xdr:twoCellAnchor>
  <xdr:twoCellAnchor editAs="oneCell">
    <xdr:from>
      <xdr:col>69</xdr:col>
      <xdr:colOff>118533</xdr:colOff>
      <xdr:row>19</xdr:row>
      <xdr:rowOff>84668</xdr:rowOff>
    </xdr:from>
    <xdr:to>
      <xdr:col>72</xdr:col>
      <xdr:colOff>327900</xdr:colOff>
      <xdr:row>32</xdr:row>
      <xdr:rowOff>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8F9346DE-8070-4841-ADAA-735E430F1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125533" y="3848948"/>
          <a:ext cx="2861127" cy="2407073"/>
        </a:xfrm>
        <a:prstGeom prst="rect">
          <a:avLst/>
        </a:prstGeom>
      </xdr:spPr>
    </xdr:pic>
    <xdr:clientData/>
  </xdr:twoCellAnchor>
  <xdr:twoCellAnchor editAs="oneCell">
    <xdr:from>
      <xdr:col>73</xdr:col>
      <xdr:colOff>160867</xdr:colOff>
      <xdr:row>19</xdr:row>
      <xdr:rowOff>25400</xdr:rowOff>
    </xdr:from>
    <xdr:to>
      <xdr:col>76</xdr:col>
      <xdr:colOff>457200</xdr:colOff>
      <xdr:row>31</xdr:row>
      <xdr:rowOff>187420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50F0C79-20C0-4F4C-BFD8-9DEF585F0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429227" y="3789680"/>
          <a:ext cx="2925233" cy="246326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304799</xdr:colOff>
      <xdr:row>51</xdr:row>
      <xdr:rowOff>16933</xdr:rowOff>
    </xdr:from>
    <xdr:to>
      <xdr:col>32</xdr:col>
      <xdr:colOff>364066</xdr:colOff>
      <xdr:row>62</xdr:row>
      <xdr:rowOff>113831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F446D272-7BE7-4CFF-B935-FEC958D17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102059" y="10105813"/>
          <a:ext cx="2627207" cy="2222878"/>
        </a:xfrm>
        <a:prstGeom prst="rect">
          <a:avLst/>
        </a:prstGeom>
      </xdr:spPr>
    </xdr:pic>
    <xdr:clientData/>
  </xdr:twoCellAnchor>
  <xdr:twoCellAnchor editAs="oneCell">
    <xdr:from>
      <xdr:col>33</xdr:col>
      <xdr:colOff>169333</xdr:colOff>
      <xdr:row>51</xdr:row>
      <xdr:rowOff>25400</xdr:rowOff>
    </xdr:from>
    <xdr:to>
      <xdr:col>36</xdr:col>
      <xdr:colOff>364066</xdr:colOff>
      <xdr:row>62</xdr:row>
      <xdr:rowOff>143732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E4DA29F-2D23-40CA-B25E-60B4289EF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83173" y="10114280"/>
          <a:ext cx="2648373" cy="2244312"/>
        </a:xfrm>
        <a:prstGeom prst="rect">
          <a:avLst/>
        </a:prstGeom>
      </xdr:spPr>
    </xdr:pic>
    <xdr:clientData/>
  </xdr:twoCellAnchor>
  <xdr:twoCellAnchor editAs="oneCell">
    <xdr:from>
      <xdr:col>37</xdr:col>
      <xdr:colOff>584200</xdr:colOff>
      <xdr:row>51</xdr:row>
      <xdr:rowOff>67734</xdr:rowOff>
    </xdr:from>
    <xdr:to>
      <xdr:col>40</xdr:col>
      <xdr:colOff>364305</xdr:colOff>
      <xdr:row>62</xdr:row>
      <xdr:rowOff>186267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06E2F2D-85AF-49A5-AB89-6A957C27A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523180" y="10156614"/>
          <a:ext cx="2660465" cy="2244513"/>
        </a:xfrm>
        <a:prstGeom prst="rect">
          <a:avLst/>
        </a:prstGeom>
      </xdr:spPr>
    </xdr:pic>
    <xdr:clientData/>
  </xdr:twoCellAnchor>
  <xdr:twoCellAnchor editAs="oneCell">
    <xdr:from>
      <xdr:col>41</xdr:col>
      <xdr:colOff>211666</xdr:colOff>
      <xdr:row>51</xdr:row>
      <xdr:rowOff>16935</xdr:rowOff>
    </xdr:from>
    <xdr:to>
      <xdr:col>44</xdr:col>
      <xdr:colOff>262466</xdr:colOff>
      <xdr:row>62</xdr:row>
      <xdr:rowOff>213860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FD9C9E19-B058-486F-B7B2-8F55BDA05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655846" y="10105815"/>
          <a:ext cx="2748280" cy="2322905"/>
        </a:xfrm>
        <a:prstGeom prst="rect">
          <a:avLst/>
        </a:prstGeom>
      </xdr:spPr>
    </xdr:pic>
    <xdr:clientData/>
  </xdr:twoCellAnchor>
  <xdr:twoCellAnchor editAs="oneCell">
    <xdr:from>
      <xdr:col>45</xdr:col>
      <xdr:colOff>211667</xdr:colOff>
      <xdr:row>51</xdr:row>
      <xdr:rowOff>25400</xdr:rowOff>
    </xdr:from>
    <xdr:to>
      <xdr:col>48</xdr:col>
      <xdr:colOff>211667</xdr:colOff>
      <xdr:row>62</xdr:row>
      <xdr:rowOff>179456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9C3D9274-F9CA-4AFC-8794-4E8B31ABA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924827" y="10114280"/>
          <a:ext cx="2705100" cy="2280036"/>
        </a:xfrm>
        <a:prstGeom prst="rect">
          <a:avLst/>
        </a:prstGeom>
      </xdr:spPr>
    </xdr:pic>
    <xdr:clientData/>
  </xdr:twoCellAnchor>
  <xdr:twoCellAnchor editAs="oneCell">
    <xdr:from>
      <xdr:col>49</xdr:col>
      <xdr:colOff>93133</xdr:colOff>
      <xdr:row>51</xdr:row>
      <xdr:rowOff>42334</xdr:rowOff>
    </xdr:from>
    <xdr:to>
      <xdr:col>52</xdr:col>
      <xdr:colOff>57301</xdr:colOff>
      <xdr:row>62</xdr:row>
      <xdr:rowOff>194734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FAA72C24-30B1-466F-99FB-564648518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0067653" y="10131214"/>
          <a:ext cx="2707368" cy="2278380"/>
        </a:xfrm>
        <a:prstGeom prst="rect">
          <a:avLst/>
        </a:prstGeom>
      </xdr:spPr>
    </xdr:pic>
    <xdr:clientData/>
  </xdr:twoCellAnchor>
  <xdr:twoCellAnchor editAs="oneCell">
    <xdr:from>
      <xdr:col>53</xdr:col>
      <xdr:colOff>423333</xdr:colOff>
      <xdr:row>51</xdr:row>
      <xdr:rowOff>42333</xdr:rowOff>
    </xdr:from>
    <xdr:to>
      <xdr:col>56</xdr:col>
      <xdr:colOff>428904</xdr:colOff>
      <xdr:row>62</xdr:row>
      <xdr:rowOff>143933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32C7C0C-BEF6-46DB-BBDA-CA3C2D7A6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735413" y="10131213"/>
          <a:ext cx="2642091" cy="2227580"/>
        </a:xfrm>
        <a:prstGeom prst="rect">
          <a:avLst/>
        </a:prstGeom>
      </xdr:spPr>
    </xdr:pic>
    <xdr:clientData/>
  </xdr:twoCellAnchor>
  <xdr:twoCellAnchor editAs="oneCell">
    <xdr:from>
      <xdr:col>65</xdr:col>
      <xdr:colOff>282927</xdr:colOff>
      <xdr:row>51</xdr:row>
      <xdr:rowOff>50800</xdr:rowOff>
    </xdr:from>
    <xdr:to>
      <xdr:col>68</xdr:col>
      <xdr:colOff>448732</xdr:colOff>
      <xdr:row>62</xdr:row>
      <xdr:rowOff>194734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C299E08C-1C2A-42FB-8130-8CDA16A62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3158107" y="10139680"/>
          <a:ext cx="2688025" cy="2269914"/>
        </a:xfrm>
        <a:prstGeom prst="rect">
          <a:avLst/>
        </a:prstGeom>
      </xdr:spPr>
    </xdr:pic>
    <xdr:clientData/>
  </xdr:twoCellAnchor>
  <xdr:twoCellAnchor editAs="oneCell">
    <xdr:from>
      <xdr:col>57</xdr:col>
      <xdr:colOff>389467</xdr:colOff>
      <xdr:row>51</xdr:row>
      <xdr:rowOff>25401</xdr:rowOff>
    </xdr:from>
    <xdr:to>
      <xdr:col>60</xdr:col>
      <xdr:colOff>457201</xdr:colOff>
      <xdr:row>62</xdr:row>
      <xdr:rowOff>129444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90C31649-F600-400A-B639-E8A6EBE3D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6947667" y="10114281"/>
          <a:ext cx="2643294" cy="2230023"/>
        </a:xfrm>
        <a:prstGeom prst="rect">
          <a:avLst/>
        </a:prstGeom>
      </xdr:spPr>
    </xdr:pic>
    <xdr:clientData/>
  </xdr:twoCellAnchor>
  <xdr:twoCellAnchor editAs="oneCell">
    <xdr:from>
      <xdr:col>61</xdr:col>
      <xdr:colOff>245534</xdr:colOff>
      <xdr:row>51</xdr:row>
      <xdr:rowOff>33867</xdr:rowOff>
    </xdr:from>
    <xdr:to>
      <xdr:col>64</xdr:col>
      <xdr:colOff>448734</xdr:colOff>
      <xdr:row>62</xdr:row>
      <xdr:rowOff>209359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2C9537B-7159-4E82-B8E5-A58D09B0D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9988894" y="10122747"/>
          <a:ext cx="2725420" cy="2301472"/>
        </a:xfrm>
        <a:prstGeom prst="rect">
          <a:avLst/>
        </a:prstGeom>
      </xdr:spPr>
    </xdr:pic>
    <xdr:clientData/>
  </xdr:twoCellAnchor>
  <xdr:twoCellAnchor editAs="oneCell">
    <xdr:from>
      <xdr:col>69</xdr:col>
      <xdr:colOff>279400</xdr:colOff>
      <xdr:row>51</xdr:row>
      <xdr:rowOff>33867</xdr:rowOff>
    </xdr:from>
    <xdr:to>
      <xdr:col>72</xdr:col>
      <xdr:colOff>328237</xdr:colOff>
      <xdr:row>62</xdr:row>
      <xdr:rowOff>186267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36CF6877-4ADD-47F9-941A-E12B2AF14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6286400" y="10122747"/>
          <a:ext cx="2700597" cy="2278380"/>
        </a:xfrm>
        <a:prstGeom prst="rect">
          <a:avLst/>
        </a:prstGeom>
      </xdr:spPr>
    </xdr:pic>
    <xdr:clientData/>
  </xdr:twoCellAnchor>
  <xdr:twoCellAnchor editAs="oneCell">
    <xdr:from>
      <xdr:col>73</xdr:col>
      <xdr:colOff>304800</xdr:colOff>
      <xdr:row>51</xdr:row>
      <xdr:rowOff>8468</xdr:rowOff>
    </xdr:from>
    <xdr:to>
      <xdr:col>76</xdr:col>
      <xdr:colOff>448733</xdr:colOff>
      <xdr:row>62</xdr:row>
      <xdr:rowOff>219683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325005FD-C98E-40EF-BDEA-A9C62212A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9573160" y="10097348"/>
          <a:ext cx="2772833" cy="2337195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82</xdr:row>
      <xdr:rowOff>25401</xdr:rowOff>
    </xdr:from>
    <xdr:to>
      <xdr:col>32</xdr:col>
      <xdr:colOff>414867</xdr:colOff>
      <xdr:row>94</xdr:row>
      <xdr:rowOff>12768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14C02EC8-6E64-4256-9A1E-2BCD92625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102060" y="16271241"/>
          <a:ext cx="2678007" cy="2258127"/>
        </a:xfrm>
        <a:prstGeom prst="rect">
          <a:avLst/>
        </a:prstGeom>
      </xdr:spPr>
    </xdr:pic>
    <xdr:clientData/>
  </xdr:twoCellAnchor>
  <xdr:twoCellAnchor editAs="oneCell">
    <xdr:from>
      <xdr:col>33</xdr:col>
      <xdr:colOff>160867</xdr:colOff>
      <xdr:row>82</xdr:row>
      <xdr:rowOff>76201</xdr:rowOff>
    </xdr:from>
    <xdr:to>
      <xdr:col>36</xdr:col>
      <xdr:colOff>446135</xdr:colOff>
      <xdr:row>94</xdr:row>
      <xdr:rowOff>118534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C3891164-A6F2-4CA0-99C1-137E1D60C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74707" y="16322041"/>
          <a:ext cx="2738908" cy="2313093"/>
        </a:xfrm>
        <a:prstGeom prst="rect">
          <a:avLst/>
        </a:prstGeom>
      </xdr:spPr>
    </xdr:pic>
    <xdr:clientData/>
  </xdr:twoCellAnchor>
  <xdr:twoCellAnchor editAs="oneCell">
    <xdr:from>
      <xdr:col>37</xdr:col>
      <xdr:colOff>364067</xdr:colOff>
      <xdr:row>82</xdr:row>
      <xdr:rowOff>50801</xdr:rowOff>
    </xdr:from>
    <xdr:to>
      <xdr:col>40</xdr:col>
      <xdr:colOff>304701</xdr:colOff>
      <xdr:row>94</xdr:row>
      <xdr:rowOff>152400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558EFF4E-479B-4ECD-9826-6C804A56A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303047" y="16296641"/>
          <a:ext cx="2820994" cy="2372359"/>
        </a:xfrm>
        <a:prstGeom prst="rect">
          <a:avLst/>
        </a:prstGeom>
      </xdr:spPr>
    </xdr:pic>
    <xdr:clientData/>
  </xdr:twoCellAnchor>
  <xdr:twoCellAnchor editAs="oneCell">
    <xdr:from>
      <xdr:col>41</xdr:col>
      <xdr:colOff>254000</xdr:colOff>
      <xdr:row>82</xdr:row>
      <xdr:rowOff>50800</xdr:rowOff>
    </xdr:from>
    <xdr:to>
      <xdr:col>44</xdr:col>
      <xdr:colOff>397933</xdr:colOff>
      <xdr:row>94</xdr:row>
      <xdr:rowOff>173918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11FBF21E-75BB-4D14-B816-4C6B40941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698180" y="16296640"/>
          <a:ext cx="2841413" cy="2393878"/>
        </a:xfrm>
        <a:prstGeom prst="rect">
          <a:avLst/>
        </a:prstGeom>
      </xdr:spPr>
    </xdr:pic>
    <xdr:clientData/>
  </xdr:twoCellAnchor>
  <xdr:twoCellAnchor editAs="oneCell">
    <xdr:from>
      <xdr:col>45</xdr:col>
      <xdr:colOff>270934</xdr:colOff>
      <xdr:row>82</xdr:row>
      <xdr:rowOff>8467</xdr:rowOff>
    </xdr:from>
    <xdr:to>
      <xdr:col>48</xdr:col>
      <xdr:colOff>457201</xdr:colOff>
      <xdr:row>94</xdr:row>
      <xdr:rowOff>167309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A235E8C1-F8BA-47DF-96E7-D1ECBFA7A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6984094" y="16254307"/>
          <a:ext cx="2891367" cy="2429602"/>
        </a:xfrm>
        <a:prstGeom prst="rect">
          <a:avLst/>
        </a:prstGeom>
      </xdr:spPr>
    </xdr:pic>
    <xdr:clientData/>
  </xdr:twoCellAnchor>
  <xdr:twoCellAnchor editAs="oneCell">
    <xdr:from>
      <xdr:col>49</xdr:col>
      <xdr:colOff>330200</xdr:colOff>
      <xdr:row>82</xdr:row>
      <xdr:rowOff>25401</xdr:rowOff>
    </xdr:from>
    <xdr:to>
      <xdr:col>52</xdr:col>
      <xdr:colOff>457199</xdr:colOff>
      <xdr:row>94</xdr:row>
      <xdr:rowOff>162810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D1CE252A-A61A-4BF2-9561-5C151C855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0304720" y="16271241"/>
          <a:ext cx="2870199" cy="2408169"/>
        </a:xfrm>
        <a:prstGeom prst="rect">
          <a:avLst/>
        </a:prstGeom>
      </xdr:spPr>
    </xdr:pic>
    <xdr:clientData/>
  </xdr:twoCellAnchor>
  <xdr:twoCellAnchor editAs="oneCell">
    <xdr:from>
      <xdr:col>53</xdr:col>
      <xdr:colOff>296332</xdr:colOff>
      <xdr:row>82</xdr:row>
      <xdr:rowOff>25401</xdr:rowOff>
    </xdr:from>
    <xdr:to>
      <xdr:col>56</xdr:col>
      <xdr:colOff>465665</xdr:colOff>
      <xdr:row>94</xdr:row>
      <xdr:rowOff>112796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1BA17146-CA61-4D26-8B14-19C217ECC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3608412" y="16271241"/>
          <a:ext cx="2805853" cy="2358155"/>
        </a:xfrm>
        <a:prstGeom prst="rect">
          <a:avLst/>
        </a:prstGeom>
      </xdr:spPr>
    </xdr:pic>
    <xdr:clientData/>
  </xdr:twoCellAnchor>
  <xdr:twoCellAnchor editAs="oneCell">
    <xdr:from>
      <xdr:col>57</xdr:col>
      <xdr:colOff>270933</xdr:colOff>
      <xdr:row>82</xdr:row>
      <xdr:rowOff>59267</xdr:rowOff>
    </xdr:from>
    <xdr:to>
      <xdr:col>60</xdr:col>
      <xdr:colOff>466202</xdr:colOff>
      <xdr:row>94</xdr:row>
      <xdr:rowOff>118534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48757D0A-3AAB-41AE-B899-F4E6E2C74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6829133" y="16305107"/>
          <a:ext cx="2770829" cy="2330027"/>
        </a:xfrm>
        <a:prstGeom prst="rect">
          <a:avLst/>
        </a:prstGeom>
      </xdr:spPr>
    </xdr:pic>
    <xdr:clientData/>
  </xdr:twoCellAnchor>
  <xdr:twoCellAnchor editAs="oneCell">
    <xdr:from>
      <xdr:col>61</xdr:col>
      <xdr:colOff>177800</xdr:colOff>
      <xdr:row>82</xdr:row>
      <xdr:rowOff>42333</xdr:rowOff>
    </xdr:from>
    <xdr:to>
      <xdr:col>64</xdr:col>
      <xdr:colOff>414866</xdr:colOff>
      <xdr:row>94</xdr:row>
      <xdr:rowOff>94003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5A80189C-5889-4CCE-870B-09E6E2609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9921160" y="16288173"/>
          <a:ext cx="2759286" cy="2322430"/>
        </a:xfrm>
        <a:prstGeom prst="rect">
          <a:avLst/>
        </a:prstGeom>
      </xdr:spPr>
    </xdr:pic>
    <xdr:clientData/>
  </xdr:twoCellAnchor>
  <xdr:twoCellAnchor editAs="oneCell">
    <xdr:from>
      <xdr:col>69</xdr:col>
      <xdr:colOff>57800</xdr:colOff>
      <xdr:row>82</xdr:row>
      <xdr:rowOff>59266</xdr:rowOff>
    </xdr:from>
    <xdr:to>
      <xdr:col>72</xdr:col>
      <xdr:colOff>237067</xdr:colOff>
      <xdr:row>94</xdr:row>
      <xdr:rowOff>169332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C1C0CF90-1CCA-45BF-9FE0-3654AA179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6064800" y="16305106"/>
          <a:ext cx="2831027" cy="2380826"/>
        </a:xfrm>
        <a:prstGeom prst="rect">
          <a:avLst/>
        </a:prstGeom>
      </xdr:spPr>
    </xdr:pic>
    <xdr:clientData/>
  </xdr:twoCellAnchor>
  <xdr:twoCellAnchor editAs="oneCell">
    <xdr:from>
      <xdr:col>65</xdr:col>
      <xdr:colOff>254000</xdr:colOff>
      <xdr:row>82</xdr:row>
      <xdr:rowOff>33867</xdr:rowOff>
    </xdr:from>
    <xdr:to>
      <xdr:col>68</xdr:col>
      <xdr:colOff>533399</xdr:colOff>
      <xdr:row>94</xdr:row>
      <xdr:rowOff>121261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55186DF3-F4CA-4813-8516-8F36803CB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3129180" y="16279707"/>
          <a:ext cx="2801619" cy="2358154"/>
        </a:xfrm>
        <a:prstGeom prst="rect">
          <a:avLst/>
        </a:prstGeom>
      </xdr:spPr>
    </xdr:pic>
    <xdr:clientData/>
  </xdr:twoCellAnchor>
  <xdr:twoCellAnchor editAs="oneCell">
    <xdr:from>
      <xdr:col>73</xdr:col>
      <xdr:colOff>364067</xdr:colOff>
      <xdr:row>82</xdr:row>
      <xdr:rowOff>33866</xdr:rowOff>
    </xdr:from>
    <xdr:to>
      <xdr:col>76</xdr:col>
      <xdr:colOff>601133</xdr:colOff>
      <xdr:row>94</xdr:row>
      <xdr:rowOff>171274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7EC29346-816E-4EBD-B1C9-5EA6920E6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9632427" y="16279706"/>
          <a:ext cx="2865966" cy="2408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0078-ED8F-424E-BE50-4835E3FC920B}">
  <dimension ref="A1:BY89"/>
  <sheetViews>
    <sheetView tabSelected="1" zoomScale="90" zoomScaleNormal="90" workbookViewId="0">
      <selection activeCell="I9" sqref="I9:I14"/>
    </sheetView>
  </sheetViews>
  <sheetFormatPr defaultRowHeight="14.4" x14ac:dyDescent="0.3"/>
  <cols>
    <col min="2" max="2" width="12" customWidth="1"/>
    <col min="3" max="3" width="12.6640625" customWidth="1"/>
    <col min="5" max="5" width="15" customWidth="1"/>
    <col min="6" max="6" width="16.33203125" customWidth="1"/>
    <col min="7" max="7" width="12" customWidth="1"/>
    <col min="10" max="10" width="12.6640625" customWidth="1"/>
    <col min="12" max="12" width="17.77734375" customWidth="1"/>
    <col min="14" max="15" width="13.88671875" customWidth="1"/>
    <col min="16" max="16" width="15.6640625" customWidth="1"/>
    <col min="19" max="19" width="12.44140625" customWidth="1"/>
    <col min="21" max="21" width="15.6640625" customWidth="1"/>
    <col min="23" max="24" width="19.44140625" customWidth="1"/>
    <col min="25" max="25" width="13.6640625" customWidth="1"/>
    <col min="30" max="30" width="18.6640625" customWidth="1"/>
    <col min="31" max="31" width="10.109375" customWidth="1"/>
    <col min="32" max="32" width="8.6640625" customWidth="1"/>
    <col min="33" max="33" width="8" customWidth="1"/>
    <col min="34" max="34" width="18.33203125" customWidth="1"/>
    <col min="35" max="35" width="9.44140625" customWidth="1"/>
    <col min="36" max="36" width="8" customWidth="1"/>
    <col min="37" max="37" width="8.33203125" customWidth="1"/>
    <col min="38" max="38" width="21.6640625" customWidth="1"/>
    <col min="39" max="39" width="11" customWidth="1"/>
    <col min="40" max="40" width="9.33203125" customWidth="1"/>
    <col min="41" max="41" width="9.109375" customWidth="1"/>
    <col min="42" max="42" width="19.6640625" customWidth="1"/>
    <col min="43" max="43" width="11.33203125" customWidth="1"/>
    <col min="44" max="45" width="8.33203125" customWidth="1"/>
    <col min="46" max="46" width="20.88671875" customWidth="1"/>
    <col min="47" max="47" width="9.88671875" customWidth="1"/>
    <col min="48" max="48" width="8.6640625" customWidth="1"/>
    <col min="49" max="49" width="8.109375" customWidth="1"/>
    <col min="50" max="50" width="21.33203125" customWidth="1"/>
    <col min="51" max="51" width="10.33203125" customWidth="1"/>
    <col min="52" max="52" width="8.33203125" customWidth="1"/>
    <col min="53" max="53" width="8.6640625" customWidth="1"/>
    <col min="54" max="54" width="20.6640625" customWidth="1"/>
    <col min="58" max="58" width="18.6640625" customWidth="1"/>
    <col min="59" max="59" width="10" customWidth="1"/>
    <col min="62" max="62" width="19" customWidth="1"/>
    <col min="66" max="66" width="17.88671875" customWidth="1"/>
    <col min="67" max="67" width="10" customWidth="1"/>
    <col min="70" max="70" width="19.6640625" customWidth="1"/>
    <col min="71" max="71" width="10.109375" customWidth="1"/>
    <col min="74" max="74" width="19.5546875" customWidth="1"/>
    <col min="75" max="75" width="9.88671875" customWidth="1"/>
  </cols>
  <sheetData>
    <row r="1" spans="1:77" ht="15" thickBot="1" x14ac:dyDescent="0.35">
      <c r="A1" s="1" t="s">
        <v>0</v>
      </c>
      <c r="B1" s="2"/>
      <c r="C1" s="1" t="s">
        <v>1</v>
      </c>
      <c r="D1" s="3"/>
      <c r="E1" s="3"/>
      <c r="F1" s="3"/>
      <c r="G1" s="3"/>
      <c r="H1" s="3"/>
      <c r="I1" s="3"/>
      <c r="J1" s="3"/>
      <c r="K1" s="2"/>
      <c r="L1" s="1" t="s">
        <v>2</v>
      </c>
      <c r="M1" s="3"/>
      <c r="N1" s="3"/>
      <c r="O1" s="3"/>
      <c r="P1" s="3"/>
      <c r="Q1" s="3"/>
      <c r="R1" s="3"/>
      <c r="S1" s="3"/>
      <c r="T1" s="2"/>
      <c r="U1" s="1" t="s">
        <v>3</v>
      </c>
      <c r="V1" s="3"/>
      <c r="W1" s="3"/>
      <c r="X1" s="3"/>
      <c r="Y1" s="3"/>
      <c r="Z1" s="3"/>
      <c r="AA1" s="3"/>
      <c r="AB1" s="3"/>
      <c r="AC1" s="3"/>
      <c r="AD1" s="4" t="s">
        <v>4</v>
      </c>
      <c r="AE1" s="4"/>
      <c r="AF1" s="4"/>
      <c r="AG1" s="4"/>
      <c r="AH1" s="4" t="s">
        <v>5</v>
      </c>
      <c r="AI1" s="4"/>
      <c r="AJ1" s="4"/>
      <c r="AK1" s="4"/>
      <c r="AL1" s="4" t="s">
        <v>6</v>
      </c>
      <c r="AM1" s="4"/>
      <c r="AN1" s="4"/>
      <c r="AO1" s="4"/>
      <c r="AP1" s="4" t="s">
        <v>7</v>
      </c>
      <c r="AQ1" s="4"/>
      <c r="AR1" s="4"/>
      <c r="AS1" s="4"/>
      <c r="AT1" s="4" t="s">
        <v>8</v>
      </c>
      <c r="AU1" s="4"/>
      <c r="AV1" s="4"/>
      <c r="AW1" s="4"/>
      <c r="AX1" s="4" t="s">
        <v>9</v>
      </c>
      <c r="AY1" s="4"/>
      <c r="AZ1" s="4"/>
      <c r="BA1" s="4"/>
      <c r="BB1" s="4" t="s">
        <v>10</v>
      </c>
      <c r="BC1" s="4"/>
      <c r="BD1" s="4"/>
      <c r="BE1" s="4"/>
      <c r="BF1" s="4" t="s">
        <v>11</v>
      </c>
      <c r="BG1" s="4"/>
      <c r="BH1" s="4"/>
      <c r="BI1" s="4"/>
      <c r="BJ1" s="4" t="s">
        <v>12</v>
      </c>
      <c r="BK1" s="4"/>
      <c r="BL1" s="4"/>
      <c r="BM1" s="4"/>
      <c r="BN1" s="4" t="s">
        <v>13</v>
      </c>
      <c r="BO1" s="4"/>
      <c r="BP1" s="4"/>
      <c r="BQ1" s="4"/>
      <c r="BR1" s="4" t="s">
        <v>14</v>
      </c>
      <c r="BS1" s="4"/>
      <c r="BT1" s="4"/>
      <c r="BU1" s="4"/>
      <c r="BV1" s="4" t="s">
        <v>15</v>
      </c>
      <c r="BW1" s="4"/>
      <c r="BX1" s="4"/>
      <c r="BY1" s="4"/>
    </row>
    <row r="2" spans="1:77" ht="21" thickBot="1" x14ac:dyDescent="0.35">
      <c r="A2" s="5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7" t="s">
        <v>24</v>
      </c>
      <c r="J2" s="7" t="s">
        <v>25</v>
      </c>
      <c r="K2" s="6" t="s">
        <v>26</v>
      </c>
      <c r="L2" s="6" t="s">
        <v>18</v>
      </c>
      <c r="M2" s="6" t="s">
        <v>19</v>
      </c>
      <c r="N2" s="6" t="s">
        <v>20</v>
      </c>
      <c r="O2" s="6" t="s">
        <v>21</v>
      </c>
      <c r="P2" s="6" t="s">
        <v>22</v>
      </c>
      <c r="Q2" s="6" t="s">
        <v>23</v>
      </c>
      <c r="R2" s="7" t="s">
        <v>24</v>
      </c>
      <c r="S2" s="7" t="s">
        <v>25</v>
      </c>
      <c r="T2" s="6" t="s">
        <v>26</v>
      </c>
      <c r="U2" s="5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7" t="s">
        <v>24</v>
      </c>
      <c r="AB2" s="7" t="s">
        <v>25</v>
      </c>
      <c r="AC2" s="8" t="s">
        <v>26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27</v>
      </c>
      <c r="AI2" s="9" t="s">
        <v>28</v>
      </c>
      <c r="AJ2" s="9" t="s">
        <v>29</v>
      </c>
      <c r="AK2" s="9" t="s">
        <v>30</v>
      </c>
      <c r="AL2" s="10" t="s">
        <v>27</v>
      </c>
      <c r="AM2" s="10" t="s">
        <v>28</v>
      </c>
      <c r="AN2" s="10" t="s">
        <v>29</v>
      </c>
      <c r="AO2" s="10" t="s">
        <v>30</v>
      </c>
      <c r="AP2" s="11" t="s">
        <v>27</v>
      </c>
      <c r="AQ2" s="11" t="s">
        <v>28</v>
      </c>
      <c r="AR2" s="11" t="s">
        <v>29</v>
      </c>
      <c r="AS2" s="11" t="s">
        <v>30</v>
      </c>
      <c r="AT2" s="11" t="s">
        <v>27</v>
      </c>
      <c r="AU2" s="11" t="s">
        <v>28</v>
      </c>
      <c r="AV2" s="11" t="s">
        <v>29</v>
      </c>
      <c r="AW2" s="11" t="s">
        <v>30</v>
      </c>
      <c r="AX2" s="11" t="s">
        <v>27</v>
      </c>
      <c r="AY2" s="11" t="s">
        <v>28</v>
      </c>
      <c r="AZ2" s="9" t="s">
        <v>29</v>
      </c>
      <c r="BA2" s="9" t="s">
        <v>30</v>
      </c>
      <c r="BB2" s="9" t="s">
        <v>27</v>
      </c>
      <c r="BC2" s="9" t="s">
        <v>28</v>
      </c>
      <c r="BD2" s="9" t="s">
        <v>29</v>
      </c>
      <c r="BE2" s="9" t="s">
        <v>30</v>
      </c>
      <c r="BF2" s="9" t="s">
        <v>27</v>
      </c>
      <c r="BG2" s="9" t="s">
        <v>28</v>
      </c>
      <c r="BH2" s="9" t="s">
        <v>29</v>
      </c>
      <c r="BI2" s="9" t="s">
        <v>30</v>
      </c>
      <c r="BJ2" s="9" t="s">
        <v>27</v>
      </c>
      <c r="BK2" s="9" t="s">
        <v>28</v>
      </c>
      <c r="BL2" s="9" t="s">
        <v>29</v>
      </c>
      <c r="BM2" s="9" t="s">
        <v>30</v>
      </c>
      <c r="BN2" s="9" t="s">
        <v>27</v>
      </c>
      <c r="BO2" s="9" t="s">
        <v>28</v>
      </c>
      <c r="BP2" s="9" t="s">
        <v>29</v>
      </c>
      <c r="BQ2" s="9" t="s">
        <v>30</v>
      </c>
      <c r="BR2" s="9" t="s">
        <v>27</v>
      </c>
      <c r="BS2" s="9" t="s">
        <v>28</v>
      </c>
      <c r="BT2" s="9" t="s">
        <v>29</v>
      </c>
      <c r="BU2" s="9" t="s">
        <v>30</v>
      </c>
      <c r="BV2" s="9" t="s">
        <v>27</v>
      </c>
      <c r="BW2" s="9" t="s">
        <v>28</v>
      </c>
      <c r="BX2" s="9" t="s">
        <v>29</v>
      </c>
      <c r="BY2" s="9" t="s">
        <v>30</v>
      </c>
    </row>
    <row r="3" spans="1:77" ht="15.6" thickTop="1" thickBot="1" x14ac:dyDescent="0.35">
      <c r="A3" s="12" t="s">
        <v>31</v>
      </c>
      <c r="B3" s="13">
        <v>2016</v>
      </c>
      <c r="C3" s="13">
        <v>6720503</v>
      </c>
      <c r="D3" s="13">
        <v>451</v>
      </c>
      <c r="E3" s="14">
        <f>(D3/C3)*100000</f>
        <v>6.7108072119006561</v>
      </c>
      <c r="F3" s="14">
        <f>LN(E3)</f>
        <v>1.9037192435843087</v>
      </c>
      <c r="G3" s="15">
        <v>9.1999999999999998E-2</v>
      </c>
      <c r="H3" s="16">
        <f>(EXP(G3)-1)*100</f>
        <v>9.6364822080816879</v>
      </c>
      <c r="I3" s="17">
        <f>(EXP(0.022) - 1) * 100</f>
        <v>2.2243784470438177</v>
      </c>
      <c r="J3" s="17">
        <f>(EXP(0.162) - 1) * 100</f>
        <v>17.586024132099976</v>
      </c>
      <c r="K3" s="18">
        <v>2.1899999999999999E-2</v>
      </c>
      <c r="L3" s="13">
        <v>3390408</v>
      </c>
      <c r="M3" s="13">
        <v>279</v>
      </c>
      <c r="N3" s="14">
        <f>(M3/L3)*100000</f>
        <v>8.2290980908492433</v>
      </c>
      <c r="O3" s="14">
        <f>LN(N3)</f>
        <v>2.1076764206946197</v>
      </c>
      <c r="P3" s="18">
        <v>8.14E-2</v>
      </c>
      <c r="Q3" s="16">
        <f>(EXP(P3)-1)*100</f>
        <v>8.48047316866265</v>
      </c>
      <c r="R3" s="17">
        <f>(EXP(0.011) - 1) * 100</f>
        <v>1.1060722444719451</v>
      </c>
      <c r="S3" s="17">
        <f>(EXP(0.152) - 1) * 100</f>
        <v>16.41602364321124</v>
      </c>
      <c r="T3" s="15">
        <v>3.3000000000000002E-2</v>
      </c>
      <c r="U3" s="19">
        <v>3330095</v>
      </c>
      <c r="V3" s="13">
        <v>172</v>
      </c>
      <c r="W3" s="14">
        <f>(V3/U3)*100000</f>
        <v>5.1650178148070847</v>
      </c>
      <c r="X3" s="14">
        <f>LN(W3)</f>
        <v>1.641908551705457</v>
      </c>
      <c r="Y3" s="15">
        <v>0.11</v>
      </c>
      <c r="Z3" s="16">
        <f>(EXP(Y3)-1)*100</f>
        <v>11.627807045887128</v>
      </c>
      <c r="AA3" s="17">
        <f>(EXP(0.041) - 1) * 100</f>
        <v>4.1852105545479468</v>
      </c>
      <c r="AB3" s="17">
        <f>(EXP(0.179) - 1) * 100</f>
        <v>19.602074416788362</v>
      </c>
      <c r="AC3" s="20">
        <v>1.1299999999999999E-2</v>
      </c>
      <c r="AD3" s="9" t="s">
        <v>32</v>
      </c>
      <c r="AE3" s="9">
        <v>1</v>
      </c>
      <c r="AF3" s="9">
        <v>0.14810000000000001</v>
      </c>
      <c r="AG3" s="9">
        <v>0.14810000000000001</v>
      </c>
      <c r="AH3" s="9" t="s">
        <v>32</v>
      </c>
      <c r="AI3" s="9">
        <v>1</v>
      </c>
      <c r="AJ3" s="9">
        <v>0.11600000000000001</v>
      </c>
      <c r="AK3" s="9">
        <v>0.11600000000000001</v>
      </c>
      <c r="AL3" s="10" t="s">
        <v>32</v>
      </c>
      <c r="AM3" s="10">
        <v>1</v>
      </c>
      <c r="AN3" s="10">
        <v>0.2117</v>
      </c>
      <c r="AO3" s="10">
        <v>0.2117</v>
      </c>
      <c r="AP3" s="11" t="s">
        <v>32</v>
      </c>
      <c r="AQ3" s="11">
        <v>1</v>
      </c>
      <c r="AR3" s="11" t="s">
        <v>33</v>
      </c>
      <c r="AS3" s="11" t="s">
        <v>33</v>
      </c>
      <c r="AT3" s="11" t="s">
        <v>32</v>
      </c>
      <c r="AU3" s="11">
        <v>1</v>
      </c>
      <c r="AV3" s="11" t="s">
        <v>34</v>
      </c>
      <c r="AW3" s="11" t="s">
        <v>34</v>
      </c>
      <c r="AX3" s="11" t="s">
        <v>32</v>
      </c>
      <c r="AY3" s="11">
        <v>1</v>
      </c>
      <c r="AZ3" s="9" t="s">
        <v>35</v>
      </c>
      <c r="BA3" s="9" t="s">
        <v>35</v>
      </c>
      <c r="BB3" s="9" t="s">
        <v>32</v>
      </c>
      <c r="BC3" s="9">
        <v>1</v>
      </c>
      <c r="BD3" s="9" t="s">
        <v>36</v>
      </c>
      <c r="BE3" s="9" t="s">
        <v>36</v>
      </c>
      <c r="BF3" s="9" t="s">
        <v>32</v>
      </c>
      <c r="BG3" s="9">
        <v>1</v>
      </c>
      <c r="BH3" s="9">
        <v>4.7800000000000002E-2</v>
      </c>
      <c r="BI3" s="9">
        <v>4.7800000000000002E-2</v>
      </c>
      <c r="BJ3" s="9" t="s">
        <v>32</v>
      </c>
      <c r="BK3" s="9">
        <v>1</v>
      </c>
      <c r="BL3" s="9">
        <v>5.16E-2</v>
      </c>
      <c r="BM3" s="9">
        <v>5.16E-2</v>
      </c>
      <c r="BN3" s="9" t="s">
        <v>32</v>
      </c>
      <c r="BO3" s="9">
        <v>1</v>
      </c>
      <c r="BP3" s="9">
        <v>7.7999999999999996E-3</v>
      </c>
      <c r="BQ3" s="9">
        <v>7.7999999999999996E-3</v>
      </c>
      <c r="BR3" s="9" t="s">
        <v>32</v>
      </c>
      <c r="BS3" s="9">
        <v>1</v>
      </c>
      <c r="BT3" s="9">
        <v>5.4999999999999997E-3</v>
      </c>
      <c r="BU3" s="9">
        <v>5.4999999999999997E-3</v>
      </c>
      <c r="BV3" s="9" t="s">
        <v>32</v>
      </c>
      <c r="BW3" s="9">
        <v>1</v>
      </c>
      <c r="BX3" s="9">
        <v>1.37E-2</v>
      </c>
      <c r="BY3" s="9">
        <v>1.37E-2</v>
      </c>
    </row>
    <row r="4" spans="1:77" ht="15.6" thickTop="1" thickBot="1" x14ac:dyDescent="0.35">
      <c r="A4" s="21"/>
      <c r="B4" s="13">
        <v>2017</v>
      </c>
      <c r="C4" s="13">
        <v>6805532</v>
      </c>
      <c r="D4" s="13">
        <v>509</v>
      </c>
      <c r="E4" s="14">
        <f t="shared" ref="E4:E26" si="0">(D4/C4)*100000</f>
        <v>7.4792095606926834</v>
      </c>
      <c r="F4" s="14">
        <f t="shared" ref="F4:F26" si="1">LN(E4)</f>
        <v>2.01212711269834</v>
      </c>
      <c r="G4" s="22"/>
      <c r="H4" s="16"/>
      <c r="I4" s="23"/>
      <c r="J4" s="23"/>
      <c r="K4" s="24"/>
      <c r="L4" s="13">
        <v>3434140</v>
      </c>
      <c r="M4" s="13">
        <v>302</v>
      </c>
      <c r="N4" s="14">
        <f t="shared" ref="N4:N26" si="2">(M4/L4)*100000</f>
        <v>8.7940503299224844</v>
      </c>
      <c r="O4" s="14">
        <f t="shared" ref="O4:O26" si="3">LN(N4)</f>
        <v>2.174075393953804</v>
      </c>
      <c r="P4" s="24"/>
      <c r="Q4" s="16"/>
      <c r="R4" s="23"/>
      <c r="S4" s="23"/>
      <c r="T4" s="22"/>
      <c r="U4" s="19">
        <v>3371392</v>
      </c>
      <c r="V4" s="13">
        <v>207</v>
      </c>
      <c r="W4" s="14">
        <f t="shared" ref="W4:W26" si="4">(V4/U4)*100000</f>
        <v>6.1398971107483202</v>
      </c>
      <c r="X4" s="14">
        <f t="shared" ref="X4:X26" si="5">LN(W4)</f>
        <v>1.8148079848115335</v>
      </c>
      <c r="Y4" s="22"/>
      <c r="Z4" s="16"/>
      <c r="AA4" s="23"/>
      <c r="AB4" s="23"/>
      <c r="AC4" s="25"/>
      <c r="AD4" s="9" t="s">
        <v>37</v>
      </c>
      <c r="AE4" s="9">
        <v>4</v>
      </c>
      <c r="AF4" s="9">
        <v>4.4600000000000001E-2</v>
      </c>
      <c r="AG4" s="9">
        <v>1.12E-2</v>
      </c>
      <c r="AH4" s="9" t="s">
        <v>37</v>
      </c>
      <c r="AI4" s="9">
        <v>4</v>
      </c>
      <c r="AJ4" s="9">
        <v>4.5400000000000003E-2</v>
      </c>
      <c r="AK4" s="9">
        <v>1.14E-2</v>
      </c>
      <c r="AL4" s="10" t="s">
        <v>37</v>
      </c>
      <c r="AM4" s="10">
        <v>4</v>
      </c>
      <c r="AN4" s="10">
        <v>4.2900000000000001E-2</v>
      </c>
      <c r="AO4" s="10">
        <v>1.0699999999999999E-2</v>
      </c>
      <c r="AP4" s="11" t="s">
        <v>37</v>
      </c>
      <c r="AQ4" s="11">
        <v>4</v>
      </c>
      <c r="AR4" s="11" t="s">
        <v>38</v>
      </c>
      <c r="AS4" s="11" t="s">
        <v>39</v>
      </c>
      <c r="AT4" s="11" t="s">
        <v>37</v>
      </c>
      <c r="AU4" s="11">
        <v>4</v>
      </c>
      <c r="AV4" s="11" t="s">
        <v>40</v>
      </c>
      <c r="AW4" s="11" t="s">
        <v>41</v>
      </c>
      <c r="AX4" s="11" t="s">
        <v>37</v>
      </c>
      <c r="AY4" s="11">
        <v>4</v>
      </c>
      <c r="AZ4" s="9" t="s">
        <v>42</v>
      </c>
      <c r="BA4" s="9" t="s">
        <v>43</v>
      </c>
      <c r="BB4" s="9" t="s">
        <v>37</v>
      </c>
      <c r="BC4" s="9">
        <v>4</v>
      </c>
      <c r="BD4" s="9" t="s">
        <v>44</v>
      </c>
      <c r="BE4" s="9" t="s">
        <v>45</v>
      </c>
      <c r="BF4" s="9" t="s">
        <v>37</v>
      </c>
      <c r="BG4" s="9">
        <v>4</v>
      </c>
      <c r="BH4" s="9">
        <v>3.0300000000000001E-2</v>
      </c>
      <c r="BI4" s="9">
        <v>7.6E-3</v>
      </c>
      <c r="BJ4" s="9" t="s">
        <v>37</v>
      </c>
      <c r="BK4" s="9">
        <v>4</v>
      </c>
      <c r="BL4" s="9">
        <v>7.7399999999999997E-2</v>
      </c>
      <c r="BM4" s="9">
        <v>1.9400000000000001E-2</v>
      </c>
      <c r="BN4" s="9" t="s">
        <v>37</v>
      </c>
      <c r="BO4" s="9">
        <v>4</v>
      </c>
      <c r="BP4" s="9">
        <v>3.3700000000000001E-2</v>
      </c>
      <c r="BQ4" s="9">
        <v>8.3999999999999995E-3</v>
      </c>
      <c r="BR4" s="9" t="s">
        <v>37</v>
      </c>
      <c r="BS4" s="9">
        <v>4</v>
      </c>
      <c r="BT4" s="9">
        <v>6.6000000000000003E-2</v>
      </c>
      <c r="BU4" s="9">
        <v>1.6500000000000001E-2</v>
      </c>
      <c r="BV4" s="9" t="s">
        <v>37</v>
      </c>
      <c r="BW4" s="9">
        <v>4</v>
      </c>
      <c r="BX4" s="9">
        <v>5.9400000000000001E-2</v>
      </c>
      <c r="BY4" s="9">
        <v>1.49E-2</v>
      </c>
    </row>
    <row r="5" spans="1:77" ht="15.6" thickTop="1" thickBot="1" x14ac:dyDescent="0.35">
      <c r="A5" s="21"/>
      <c r="B5" s="13">
        <v>2018</v>
      </c>
      <c r="C5" s="13">
        <v>6888446</v>
      </c>
      <c r="D5" s="13">
        <v>531</v>
      </c>
      <c r="E5" s="14">
        <f t="shared" si="0"/>
        <v>7.7085601019446193</v>
      </c>
      <c r="F5" s="14">
        <f t="shared" si="1"/>
        <v>2.0423314129283132</v>
      </c>
      <c r="G5" s="22"/>
      <c r="H5" s="16"/>
      <c r="I5" s="23"/>
      <c r="J5" s="23"/>
      <c r="K5" s="24"/>
      <c r="L5" s="13">
        <v>3476854</v>
      </c>
      <c r="M5" s="13">
        <v>320</v>
      </c>
      <c r="N5" s="14">
        <f t="shared" si="2"/>
        <v>9.2037226757292654</v>
      </c>
      <c r="O5" s="14">
        <f t="shared" si="3"/>
        <v>2.2196080408770715</v>
      </c>
      <c r="P5" s="24"/>
      <c r="Q5" s="16"/>
      <c r="R5" s="23"/>
      <c r="S5" s="23"/>
      <c r="T5" s="22"/>
      <c r="U5" s="19">
        <v>3411592</v>
      </c>
      <c r="V5" s="13">
        <v>211</v>
      </c>
      <c r="W5" s="14">
        <f t="shared" si="4"/>
        <v>6.1847958372513476</v>
      </c>
      <c r="X5" s="14">
        <f t="shared" si="5"/>
        <v>1.8220939959627431</v>
      </c>
      <c r="Y5" s="22"/>
      <c r="Z5" s="16"/>
      <c r="AA5" s="23"/>
      <c r="AB5" s="23"/>
      <c r="AC5" s="25"/>
      <c r="AD5" s="9" t="s">
        <v>46</v>
      </c>
      <c r="AE5" s="9">
        <v>5</v>
      </c>
      <c r="AF5" s="9">
        <v>0.19270000000000001</v>
      </c>
      <c r="AG5" s="9" t="s">
        <v>47</v>
      </c>
      <c r="AH5" s="9" t="s">
        <v>46</v>
      </c>
      <c r="AI5" s="9">
        <v>5</v>
      </c>
      <c r="AJ5" s="9">
        <v>0.1615</v>
      </c>
      <c r="AK5" s="9" t="s">
        <v>47</v>
      </c>
      <c r="AL5" s="10" t="s">
        <v>46</v>
      </c>
      <c r="AM5" s="10">
        <v>5</v>
      </c>
      <c r="AN5" s="10">
        <v>0.25469999999999998</v>
      </c>
      <c r="AO5" s="10" t="s">
        <v>47</v>
      </c>
      <c r="AP5" s="11" t="s">
        <v>46</v>
      </c>
      <c r="AQ5" s="11">
        <v>5</v>
      </c>
      <c r="AR5" s="11" t="s">
        <v>48</v>
      </c>
      <c r="AS5" s="11" t="s">
        <v>47</v>
      </c>
      <c r="AT5" s="11" t="s">
        <v>46</v>
      </c>
      <c r="AU5" s="11">
        <v>5</v>
      </c>
      <c r="AV5" s="11" t="s">
        <v>49</v>
      </c>
      <c r="AW5" s="11" t="s">
        <v>47</v>
      </c>
      <c r="AX5" s="11" t="s">
        <v>46</v>
      </c>
      <c r="AY5" s="11">
        <v>5</v>
      </c>
      <c r="AZ5" s="9" t="s">
        <v>50</v>
      </c>
      <c r="BA5" s="9" t="s">
        <v>47</v>
      </c>
      <c r="BB5" s="9" t="s">
        <v>46</v>
      </c>
      <c r="BC5" s="9">
        <v>5</v>
      </c>
      <c r="BD5" s="9" t="s">
        <v>51</v>
      </c>
      <c r="BE5" s="9" t="s">
        <v>47</v>
      </c>
      <c r="BF5" s="9" t="s">
        <v>46</v>
      </c>
      <c r="BG5" s="9">
        <v>5</v>
      </c>
      <c r="BH5" s="9">
        <v>7.8100000000000003E-2</v>
      </c>
      <c r="BI5" s="9" t="s">
        <v>47</v>
      </c>
      <c r="BJ5" s="9" t="s">
        <v>46</v>
      </c>
      <c r="BK5" s="9">
        <v>5</v>
      </c>
      <c r="BL5" s="9">
        <v>0.129</v>
      </c>
      <c r="BM5" s="9" t="s">
        <v>47</v>
      </c>
      <c r="BN5" s="9" t="s">
        <v>46</v>
      </c>
      <c r="BO5" s="9">
        <v>5</v>
      </c>
      <c r="BP5" s="9">
        <v>4.1500000000000002E-2</v>
      </c>
      <c r="BQ5" s="9" t="s">
        <v>47</v>
      </c>
      <c r="BR5" s="9" t="s">
        <v>46</v>
      </c>
      <c r="BS5" s="9">
        <v>5</v>
      </c>
      <c r="BT5" s="9">
        <v>7.1499999999999994E-2</v>
      </c>
      <c r="BU5" s="9" t="s">
        <v>47</v>
      </c>
      <c r="BV5" s="9" t="s">
        <v>46</v>
      </c>
      <c r="BW5" s="9">
        <v>5</v>
      </c>
      <c r="BX5" s="9">
        <v>7.3099999999999998E-2</v>
      </c>
      <c r="BY5" s="9" t="s">
        <v>47</v>
      </c>
    </row>
    <row r="6" spans="1:77" ht="15.6" thickTop="1" thickBot="1" x14ac:dyDescent="0.35">
      <c r="A6" s="21"/>
      <c r="B6" s="13">
        <v>2019</v>
      </c>
      <c r="C6" s="13">
        <v>6974736</v>
      </c>
      <c r="D6" s="13">
        <v>710</v>
      </c>
      <c r="E6" s="14">
        <f t="shared" si="0"/>
        <v>10.179596761798583</v>
      </c>
      <c r="F6" s="14">
        <f t="shared" si="1"/>
        <v>2.3203853995125607</v>
      </c>
      <c r="G6" s="22"/>
      <c r="H6" s="16"/>
      <c r="I6" s="23"/>
      <c r="J6" s="23"/>
      <c r="K6" s="24"/>
      <c r="L6" s="13">
        <v>3521586</v>
      </c>
      <c r="M6" s="13">
        <v>419</v>
      </c>
      <c r="N6" s="14">
        <f t="shared" si="2"/>
        <v>11.898048208960395</v>
      </c>
      <c r="O6" s="14">
        <f t="shared" si="3"/>
        <v>2.4763743706116315</v>
      </c>
      <c r="P6" s="24"/>
      <c r="Q6" s="16"/>
      <c r="R6" s="23"/>
      <c r="S6" s="23"/>
      <c r="T6" s="22"/>
      <c r="U6" s="19">
        <v>3453150</v>
      </c>
      <c r="V6" s="13">
        <v>289</v>
      </c>
      <c r="W6" s="14">
        <f t="shared" si="4"/>
        <v>8.3691701779534622</v>
      </c>
      <c r="X6" s="14">
        <f t="shared" si="5"/>
        <v>2.1245547371675082</v>
      </c>
      <c r="Y6" s="22"/>
      <c r="Z6" s="16"/>
      <c r="AA6" s="23"/>
      <c r="AB6" s="23"/>
      <c r="AC6" s="25"/>
      <c r="AD6" s="9"/>
      <c r="AE6" s="9"/>
      <c r="AF6" s="9"/>
      <c r="AG6" s="9"/>
      <c r="AH6" s="9"/>
      <c r="AI6" s="9"/>
      <c r="AJ6" s="9"/>
      <c r="AK6" s="9"/>
      <c r="AL6" s="10"/>
      <c r="AM6" s="10"/>
      <c r="AN6" s="10"/>
      <c r="AO6" s="10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</row>
    <row r="7" spans="1:77" ht="15.6" thickTop="1" thickBot="1" x14ac:dyDescent="0.35">
      <c r="A7" s="21"/>
      <c r="B7" s="13">
        <v>2020</v>
      </c>
      <c r="C7" s="13">
        <v>7060290</v>
      </c>
      <c r="D7" s="13">
        <v>774</v>
      </c>
      <c r="E7" s="14">
        <f t="shared" si="0"/>
        <v>10.962722494401788</v>
      </c>
      <c r="F7" s="14">
        <f t="shared" si="1"/>
        <v>2.3945006534468942</v>
      </c>
      <c r="G7" s="22"/>
      <c r="H7" s="16"/>
      <c r="I7" s="23"/>
      <c r="J7" s="23"/>
      <c r="K7" s="24"/>
      <c r="L7" s="13">
        <v>3566655</v>
      </c>
      <c r="M7" s="13">
        <v>455</v>
      </c>
      <c r="N7" s="14">
        <f t="shared" si="2"/>
        <v>12.757051074466133</v>
      </c>
      <c r="O7" s="14">
        <f t="shared" si="3"/>
        <v>2.5460841441905413</v>
      </c>
      <c r="P7" s="24"/>
      <c r="Q7" s="16"/>
      <c r="R7" s="23"/>
      <c r="S7" s="23"/>
      <c r="T7" s="22"/>
      <c r="U7" s="19">
        <v>3493635</v>
      </c>
      <c r="V7" s="13">
        <v>319</v>
      </c>
      <c r="W7" s="14">
        <f t="shared" si="4"/>
        <v>9.1308908915785416</v>
      </c>
      <c r="X7" s="14">
        <f t="shared" si="5"/>
        <v>2.2116632683325554</v>
      </c>
      <c r="Y7" s="22"/>
      <c r="Z7" s="16"/>
      <c r="AA7" s="23"/>
      <c r="AB7" s="23"/>
      <c r="AC7" s="25"/>
      <c r="AD7" s="9" t="s">
        <v>52</v>
      </c>
      <c r="AE7" s="9">
        <v>13.2803</v>
      </c>
      <c r="AF7" s="9" t="s">
        <v>53</v>
      </c>
      <c r="AG7" s="9"/>
      <c r="AH7" s="9" t="s">
        <v>52</v>
      </c>
      <c r="AI7" s="9">
        <v>10.2127</v>
      </c>
      <c r="AJ7" s="9" t="s">
        <v>54</v>
      </c>
      <c r="AK7" s="9"/>
      <c r="AL7" s="10" t="s">
        <v>52</v>
      </c>
      <c r="AM7" s="10">
        <v>19.728300000000001</v>
      </c>
      <c r="AN7" s="10" t="s">
        <v>55</v>
      </c>
      <c r="AO7" s="10"/>
      <c r="AP7" s="11" t="s">
        <v>52</v>
      </c>
      <c r="AQ7" s="11" t="s">
        <v>56</v>
      </c>
      <c r="AR7" s="11" t="s">
        <v>57</v>
      </c>
      <c r="AS7" s="11"/>
      <c r="AT7" s="11" t="s">
        <v>52</v>
      </c>
      <c r="AU7" s="11" t="s">
        <v>58</v>
      </c>
      <c r="AV7" s="11" t="s">
        <v>59</v>
      </c>
      <c r="AW7" s="11"/>
      <c r="AX7" s="11" t="s">
        <v>52</v>
      </c>
      <c r="AY7" s="11" t="s">
        <v>60</v>
      </c>
      <c r="AZ7" s="9" t="s">
        <v>61</v>
      </c>
      <c r="BA7" s="9"/>
      <c r="BB7" s="9" t="s">
        <v>52</v>
      </c>
      <c r="BC7" s="9" t="s">
        <v>62</v>
      </c>
      <c r="BD7" s="9" t="s">
        <v>63</v>
      </c>
      <c r="BE7" s="9"/>
      <c r="BF7" s="9" t="s">
        <v>52</v>
      </c>
      <c r="BG7" s="9">
        <v>6.3139000000000003</v>
      </c>
      <c r="BH7" s="9" t="s">
        <v>64</v>
      </c>
      <c r="BI7" s="9"/>
      <c r="BJ7" s="9" t="s">
        <v>52</v>
      </c>
      <c r="BK7" s="9">
        <v>2.6642000000000001</v>
      </c>
      <c r="BL7" s="9" t="s">
        <v>65</v>
      </c>
      <c r="BM7" s="9"/>
      <c r="BN7" s="9" t="s">
        <v>52</v>
      </c>
      <c r="BO7" s="9">
        <v>0.92820000000000003</v>
      </c>
      <c r="BP7" s="9" t="s">
        <v>66</v>
      </c>
      <c r="BQ7" s="9"/>
      <c r="BR7" s="9" t="s">
        <v>52</v>
      </c>
      <c r="BS7" s="9">
        <v>0.33260000000000001</v>
      </c>
      <c r="BT7" s="9" t="s">
        <v>67</v>
      </c>
      <c r="BU7" s="9"/>
      <c r="BV7" s="9" t="s">
        <v>52</v>
      </c>
      <c r="BW7" s="9">
        <v>0.92369999999999997</v>
      </c>
      <c r="BX7" s="9" t="s">
        <v>68</v>
      </c>
      <c r="BY7" s="9"/>
    </row>
    <row r="8" spans="1:77" ht="15.6" thickTop="1" thickBot="1" x14ac:dyDescent="0.35">
      <c r="A8" s="26"/>
      <c r="B8" s="13">
        <v>2021</v>
      </c>
      <c r="C8" s="13">
        <v>7133954</v>
      </c>
      <c r="D8" s="13">
        <v>687</v>
      </c>
      <c r="E8" s="14">
        <f t="shared" si="0"/>
        <v>9.6300032212150519</v>
      </c>
      <c r="F8" s="14">
        <f t="shared" si="1"/>
        <v>2.2648835603079069</v>
      </c>
      <c r="G8" s="27"/>
      <c r="H8" s="16"/>
      <c r="I8" s="28"/>
      <c r="J8" s="28"/>
      <c r="K8" s="29"/>
      <c r="L8" s="13">
        <v>3606666</v>
      </c>
      <c r="M8" s="13">
        <v>396</v>
      </c>
      <c r="N8" s="14">
        <f t="shared" si="2"/>
        <v>10.979669312323349</v>
      </c>
      <c r="O8" s="14">
        <f t="shared" si="3"/>
        <v>2.3960453183531096</v>
      </c>
      <c r="P8" s="29"/>
      <c r="Q8" s="16"/>
      <c r="R8" s="28"/>
      <c r="S8" s="28"/>
      <c r="T8" s="27"/>
      <c r="U8" s="19">
        <v>3527288</v>
      </c>
      <c r="V8" s="13">
        <v>291</v>
      </c>
      <c r="W8" s="14">
        <f t="shared" si="4"/>
        <v>8.2499642785051854</v>
      </c>
      <c r="X8" s="14">
        <f t="shared" si="5"/>
        <v>2.1102088704590565</v>
      </c>
      <c r="Y8" s="27"/>
      <c r="Z8" s="16"/>
      <c r="AA8" s="28"/>
      <c r="AB8" s="28"/>
      <c r="AC8" s="30"/>
      <c r="AD8" s="9" t="s">
        <v>69</v>
      </c>
      <c r="AE8" s="9" t="s">
        <v>70</v>
      </c>
      <c r="AF8" s="9"/>
      <c r="AG8" s="9"/>
      <c r="AH8" s="9" t="s">
        <v>69</v>
      </c>
      <c r="AI8" s="9" t="s">
        <v>71</v>
      </c>
      <c r="AJ8" s="9"/>
      <c r="AK8" s="9"/>
      <c r="AL8" s="10" t="s">
        <v>69</v>
      </c>
      <c r="AM8" s="10" t="s">
        <v>72</v>
      </c>
      <c r="AN8" s="10"/>
      <c r="AO8" s="10"/>
      <c r="AP8" s="11" t="s">
        <v>69</v>
      </c>
      <c r="AQ8" s="11" t="s">
        <v>70</v>
      </c>
      <c r="AR8" s="11"/>
      <c r="AS8" s="11"/>
      <c r="AT8" s="11" t="s">
        <v>69</v>
      </c>
      <c r="AU8" s="11" t="s">
        <v>70</v>
      </c>
      <c r="AV8" s="11"/>
      <c r="AW8" s="11"/>
      <c r="AX8" s="11" t="s">
        <v>69</v>
      </c>
      <c r="AY8" s="11" t="s">
        <v>70</v>
      </c>
      <c r="AZ8" s="9"/>
      <c r="BA8" s="9"/>
      <c r="BB8" s="9" t="s">
        <v>69</v>
      </c>
      <c r="BC8" s="9" t="s">
        <v>70</v>
      </c>
      <c r="BD8" s="9"/>
      <c r="BE8" s="9"/>
      <c r="BF8" s="9" t="s">
        <v>69</v>
      </c>
      <c r="BG8" s="9" t="s">
        <v>70</v>
      </c>
      <c r="BH8" s="9"/>
      <c r="BI8" s="9"/>
      <c r="BJ8" s="9" t="s">
        <v>69</v>
      </c>
      <c r="BK8" s="9" t="s">
        <v>70</v>
      </c>
      <c r="BL8" s="9"/>
      <c r="BM8" s="9"/>
      <c r="BN8" s="9" t="s">
        <v>69</v>
      </c>
      <c r="BO8" s="9" t="s">
        <v>70</v>
      </c>
      <c r="BP8" s="9"/>
      <c r="BQ8" s="9"/>
      <c r="BR8" s="9" t="s">
        <v>69</v>
      </c>
      <c r="BS8" s="9" t="s">
        <v>70</v>
      </c>
      <c r="BT8" s="9"/>
      <c r="BU8" s="9"/>
      <c r="BV8" s="9" t="s">
        <v>69</v>
      </c>
      <c r="BW8" s="9" t="s">
        <v>70</v>
      </c>
      <c r="BX8" s="9"/>
      <c r="BY8" s="9"/>
    </row>
    <row r="9" spans="1:77" ht="15.6" thickTop="1" thickBot="1" x14ac:dyDescent="0.35">
      <c r="A9" s="31" t="s">
        <v>73</v>
      </c>
      <c r="B9" s="32">
        <v>2016</v>
      </c>
      <c r="C9" s="32">
        <v>3380091</v>
      </c>
      <c r="D9" s="32">
        <v>173</v>
      </c>
      <c r="E9" s="14">
        <f t="shared" si="0"/>
        <v>5.1182053974286488</v>
      </c>
      <c r="F9" s="14">
        <f t="shared" si="1"/>
        <v>1.6328038692943023</v>
      </c>
      <c r="G9" s="18">
        <v>7.6300000000000007E-2</v>
      </c>
      <c r="H9" s="16">
        <f t="shared" ref="H9" si="6">(EXP(G9)-1)*100</f>
        <v>7.928631148770271</v>
      </c>
      <c r="I9" s="17">
        <f>(EXP(0.004) - 1) * 100</f>
        <v>0.40080106773419111</v>
      </c>
      <c r="J9" s="17">
        <f>(EXP(0.149) - 1) * 100</f>
        <v>16.067298920908545</v>
      </c>
      <c r="K9" s="33">
        <v>4.3499999999999997E-2</v>
      </c>
      <c r="L9" s="32">
        <v>1664951</v>
      </c>
      <c r="M9" s="32">
        <v>87</v>
      </c>
      <c r="N9" s="14">
        <f t="shared" si="2"/>
        <v>5.2253790051478992</v>
      </c>
      <c r="O9" s="14">
        <f t="shared" si="3"/>
        <v>1.6535273320906145</v>
      </c>
      <c r="P9" s="18">
        <v>9.4600000000000004E-2</v>
      </c>
      <c r="Q9" s="16">
        <f t="shared" ref="Q9" si="7">(EXP(P9)-1)*100</f>
        <v>9.9219079545032294</v>
      </c>
      <c r="R9" s="17">
        <f>(EXP(0.068) - 1) * 100</f>
        <v>7.0365308478774313</v>
      </c>
      <c r="S9" s="17">
        <f>(EXP(0.121) - 1) * 100</f>
        <v>12.862491236734396</v>
      </c>
      <c r="T9" s="33">
        <v>5.9999999999999995E-4</v>
      </c>
      <c r="U9" s="34">
        <v>1715140</v>
      </c>
      <c r="V9" s="32">
        <v>86</v>
      </c>
      <c r="W9" s="14">
        <f t="shared" si="4"/>
        <v>5.0141679396434107</v>
      </c>
      <c r="X9" s="14">
        <f t="shared" si="5"/>
        <v>1.6122674933202612</v>
      </c>
      <c r="Y9" s="18">
        <v>5.1299999999999998E-2</v>
      </c>
      <c r="Z9" s="16">
        <f t="shared" ref="Z9" si="8">(EXP(Y9)-1)*100</f>
        <v>5.2638637510454833</v>
      </c>
      <c r="AA9" s="17">
        <f>(EXP(-0.101) - 1) * 100</f>
        <v>-9.6066967114135871</v>
      </c>
      <c r="AB9" s="17">
        <f>(EXP(0.204) - 1) * 100</f>
        <v>22.629815345621051</v>
      </c>
      <c r="AC9" s="35">
        <v>0.40329999999999999</v>
      </c>
      <c r="AD9" s="9" t="s">
        <v>74</v>
      </c>
      <c r="AE9" s="9" t="s">
        <v>75</v>
      </c>
      <c r="AF9" s="9"/>
      <c r="AG9" s="9"/>
      <c r="AH9" s="9" t="s">
        <v>74</v>
      </c>
      <c r="AI9" s="9" t="s">
        <v>75</v>
      </c>
      <c r="AJ9" s="9"/>
      <c r="AK9" s="9"/>
      <c r="AL9" s="10" t="s">
        <v>74</v>
      </c>
      <c r="AM9" s="10" t="s">
        <v>75</v>
      </c>
      <c r="AN9" s="10"/>
      <c r="AO9" s="10"/>
      <c r="AP9" s="11" t="s">
        <v>74</v>
      </c>
      <c r="AQ9" s="11" t="s">
        <v>75</v>
      </c>
      <c r="AR9" s="11"/>
      <c r="AS9" s="11"/>
      <c r="AT9" s="11" t="s">
        <v>74</v>
      </c>
      <c r="AU9" s="11" t="s">
        <v>75</v>
      </c>
      <c r="AV9" s="11"/>
      <c r="AW9" s="11"/>
      <c r="AX9" s="11" t="s">
        <v>74</v>
      </c>
      <c r="AY9" s="11" t="s">
        <v>75</v>
      </c>
      <c r="AZ9" s="9"/>
      <c r="BA9" s="9"/>
      <c r="BB9" s="9" t="s">
        <v>74</v>
      </c>
      <c r="BC9" s="9" t="s">
        <v>75</v>
      </c>
      <c r="BD9" s="9"/>
      <c r="BE9" s="9"/>
      <c r="BF9" s="9" t="s">
        <v>74</v>
      </c>
      <c r="BG9" s="9" t="s">
        <v>75</v>
      </c>
      <c r="BH9" s="9"/>
      <c r="BI9" s="9"/>
      <c r="BJ9" s="9" t="s">
        <v>74</v>
      </c>
      <c r="BK9" s="9" t="s">
        <v>75</v>
      </c>
      <c r="BL9" s="9"/>
      <c r="BM9" s="9"/>
      <c r="BN9" s="9" t="s">
        <v>74</v>
      </c>
      <c r="BO9" s="9" t="s">
        <v>75</v>
      </c>
      <c r="BP9" s="9"/>
      <c r="BQ9" s="9"/>
      <c r="BR9" s="9" t="s">
        <v>74</v>
      </c>
      <c r="BS9" s="9" t="s">
        <v>75</v>
      </c>
      <c r="BT9" s="9"/>
      <c r="BU9" s="9"/>
      <c r="BV9" s="9" t="s">
        <v>74</v>
      </c>
      <c r="BW9" s="9" t="s">
        <v>75</v>
      </c>
      <c r="BX9" s="9"/>
      <c r="BY9" s="9"/>
    </row>
    <row r="10" spans="1:77" ht="15.6" thickTop="1" thickBot="1" x14ac:dyDescent="0.35">
      <c r="A10" s="36"/>
      <c r="B10" s="32">
        <v>2017</v>
      </c>
      <c r="C10" s="32">
        <v>3433278</v>
      </c>
      <c r="D10" s="32">
        <v>194</v>
      </c>
      <c r="E10" s="14">
        <f t="shared" si="0"/>
        <v>5.6505765044368674</v>
      </c>
      <c r="F10" s="14">
        <f t="shared" si="1"/>
        <v>1.7317575761365287</v>
      </c>
      <c r="G10" s="24"/>
      <c r="H10" s="16"/>
      <c r="I10" s="23"/>
      <c r="J10" s="23"/>
      <c r="K10" s="37"/>
      <c r="L10" s="32">
        <v>1692638</v>
      </c>
      <c r="M10" s="32">
        <v>104</v>
      </c>
      <c r="N10" s="14">
        <f t="shared" si="2"/>
        <v>6.144255298534004</v>
      </c>
      <c r="O10" s="14">
        <f t="shared" si="3"/>
        <v>1.8155175474778589</v>
      </c>
      <c r="P10" s="24"/>
      <c r="Q10" s="16"/>
      <c r="R10" s="23"/>
      <c r="S10" s="23"/>
      <c r="T10" s="37"/>
      <c r="U10" s="34">
        <v>1740640</v>
      </c>
      <c r="V10" s="32">
        <v>90</v>
      </c>
      <c r="W10" s="14">
        <f t="shared" si="4"/>
        <v>5.1705119955878303</v>
      </c>
      <c r="X10" s="14">
        <f t="shared" si="5"/>
        <v>1.6429717156455841</v>
      </c>
      <c r="Y10" s="24"/>
      <c r="Z10" s="16"/>
      <c r="AA10" s="23"/>
      <c r="AB10" s="23"/>
      <c r="AC10" s="38"/>
      <c r="AD10" s="9" t="s">
        <v>76</v>
      </c>
      <c r="AE10" s="9">
        <v>3.5</v>
      </c>
      <c r="AF10" s="9"/>
      <c r="AG10" s="9"/>
      <c r="AH10" s="9" t="s">
        <v>76</v>
      </c>
      <c r="AI10" s="9">
        <v>3.5</v>
      </c>
      <c r="AJ10" s="9"/>
      <c r="AK10" s="9"/>
      <c r="AL10" s="10" t="s">
        <v>76</v>
      </c>
      <c r="AM10" s="10">
        <v>3.5</v>
      </c>
      <c r="AN10" s="10"/>
      <c r="AO10" s="10"/>
      <c r="AP10" s="11" t="s">
        <v>76</v>
      </c>
      <c r="AQ10" s="11" t="s">
        <v>77</v>
      </c>
      <c r="AR10" s="11"/>
      <c r="AS10" s="11"/>
      <c r="AT10" s="11" t="s">
        <v>76</v>
      </c>
      <c r="AU10" s="11" t="s">
        <v>77</v>
      </c>
      <c r="AV10" s="11"/>
      <c r="AW10" s="11"/>
      <c r="AX10" s="11" t="s">
        <v>76</v>
      </c>
      <c r="AY10" s="11" t="s">
        <v>77</v>
      </c>
      <c r="AZ10" s="9"/>
      <c r="BA10" s="9"/>
      <c r="BB10" s="9" t="s">
        <v>76</v>
      </c>
      <c r="BC10" s="9" t="s">
        <v>77</v>
      </c>
      <c r="BD10" s="9"/>
      <c r="BE10" s="9"/>
      <c r="BF10" s="9" t="s">
        <v>76</v>
      </c>
      <c r="BG10" s="9">
        <v>3.5</v>
      </c>
      <c r="BH10" s="9"/>
      <c r="BI10" s="9"/>
      <c r="BJ10" s="9" t="s">
        <v>76</v>
      </c>
      <c r="BK10" s="9">
        <v>3.5</v>
      </c>
      <c r="BL10" s="9"/>
      <c r="BM10" s="9"/>
      <c r="BN10" s="9" t="s">
        <v>76</v>
      </c>
      <c r="BO10" s="9">
        <v>3.5</v>
      </c>
      <c r="BP10" s="9"/>
      <c r="BQ10" s="9"/>
      <c r="BR10" s="9" t="s">
        <v>76</v>
      </c>
      <c r="BS10" s="9">
        <v>3.5</v>
      </c>
      <c r="BT10" s="9"/>
      <c r="BU10" s="9"/>
      <c r="BV10" s="9" t="s">
        <v>76</v>
      </c>
      <c r="BW10" s="9">
        <v>3.5</v>
      </c>
      <c r="BX10" s="9"/>
      <c r="BY10" s="9"/>
    </row>
    <row r="11" spans="1:77" ht="15.6" thickTop="1" thickBot="1" x14ac:dyDescent="0.35">
      <c r="A11" s="36"/>
      <c r="B11" s="32">
        <v>2018</v>
      </c>
      <c r="C11" s="32">
        <v>3490648</v>
      </c>
      <c r="D11" s="32">
        <v>177</v>
      </c>
      <c r="E11" s="14">
        <f t="shared" si="0"/>
        <v>5.0706917454867977</v>
      </c>
      <c r="F11" s="14">
        <f t="shared" si="1"/>
        <v>1.6234772472481755</v>
      </c>
      <c r="G11" s="24"/>
      <c r="H11" s="16"/>
      <c r="I11" s="23"/>
      <c r="J11" s="23"/>
      <c r="K11" s="37"/>
      <c r="L11" s="32">
        <v>1722418</v>
      </c>
      <c r="M11" s="32">
        <v>110</v>
      </c>
      <c r="N11" s="14">
        <f t="shared" si="2"/>
        <v>6.3863707880433207</v>
      </c>
      <c r="O11" s="14">
        <f t="shared" si="3"/>
        <v>1.8541661552508224</v>
      </c>
      <c r="P11" s="24"/>
      <c r="Q11" s="16"/>
      <c r="R11" s="23"/>
      <c r="S11" s="23"/>
      <c r="T11" s="37"/>
      <c r="U11" s="34">
        <v>1768230</v>
      </c>
      <c r="V11" s="32">
        <v>67</v>
      </c>
      <c r="W11" s="14">
        <f t="shared" si="4"/>
        <v>3.7890998342975744</v>
      </c>
      <c r="X11" s="14">
        <f t="shared" si="5"/>
        <v>1.3321284801447661</v>
      </c>
      <c r="Y11" s="24"/>
      <c r="Z11" s="16"/>
      <c r="AA11" s="23"/>
      <c r="AB11" s="23"/>
      <c r="AC11" s="38"/>
      <c r="AD11" s="9" t="s">
        <v>78</v>
      </c>
      <c r="AE11" s="9">
        <v>2.1533000000000002</v>
      </c>
      <c r="AF11" s="9"/>
      <c r="AG11" s="9"/>
      <c r="AH11" s="9" t="s">
        <v>78</v>
      </c>
      <c r="AI11" s="9">
        <v>2.3216999999999999</v>
      </c>
      <c r="AJ11" s="9"/>
      <c r="AK11" s="9"/>
      <c r="AL11" s="10" t="s">
        <v>78</v>
      </c>
      <c r="AM11" s="10">
        <v>1.9517</v>
      </c>
      <c r="AN11" s="10"/>
      <c r="AO11" s="10"/>
      <c r="AP11" s="11" t="s">
        <v>78</v>
      </c>
      <c r="AQ11" s="11" t="s">
        <v>79</v>
      </c>
      <c r="AR11" s="11"/>
      <c r="AS11" s="11"/>
      <c r="AT11" s="11" t="s">
        <v>78</v>
      </c>
      <c r="AU11" s="11" t="s">
        <v>80</v>
      </c>
      <c r="AV11" s="11"/>
      <c r="AW11" s="11"/>
      <c r="AX11" s="11" t="s">
        <v>78</v>
      </c>
      <c r="AY11" s="11" t="s">
        <v>81</v>
      </c>
      <c r="AZ11" s="9"/>
      <c r="BA11" s="9"/>
      <c r="BB11" s="9" t="s">
        <v>78</v>
      </c>
      <c r="BC11" s="9" t="s">
        <v>82</v>
      </c>
      <c r="BD11" s="9"/>
      <c r="BE11" s="9"/>
      <c r="BF11" s="9" t="s">
        <v>78</v>
      </c>
      <c r="BG11" s="9">
        <v>2.415</v>
      </c>
      <c r="BH11" s="9"/>
      <c r="BI11" s="9"/>
      <c r="BJ11" s="9" t="s">
        <v>78</v>
      </c>
      <c r="BK11" s="9">
        <v>2</v>
      </c>
      <c r="BL11" s="9"/>
      <c r="BM11" s="9"/>
      <c r="BN11" s="9" t="s">
        <v>78</v>
      </c>
      <c r="BO11" s="9">
        <v>2.3132999999999999</v>
      </c>
      <c r="BP11" s="9"/>
      <c r="BQ11" s="9"/>
      <c r="BR11" s="9" t="s">
        <v>78</v>
      </c>
      <c r="BS11" s="9">
        <v>2.5133000000000001</v>
      </c>
      <c r="BT11" s="9"/>
      <c r="BU11" s="9"/>
      <c r="BV11" s="9" t="s">
        <v>78</v>
      </c>
      <c r="BW11" s="9">
        <v>2.0367000000000002</v>
      </c>
      <c r="BX11" s="9"/>
      <c r="BY11" s="9"/>
    </row>
    <row r="12" spans="1:77" ht="15.6" thickTop="1" thickBot="1" x14ac:dyDescent="0.35">
      <c r="A12" s="36"/>
      <c r="B12" s="32">
        <v>2019</v>
      </c>
      <c r="C12" s="32">
        <v>3551996</v>
      </c>
      <c r="D12" s="32">
        <v>240</v>
      </c>
      <c r="E12" s="14">
        <f t="shared" si="0"/>
        <v>6.7567643657256369</v>
      </c>
      <c r="F12" s="14">
        <f t="shared" si="1"/>
        <v>1.9105441313447822</v>
      </c>
      <c r="G12" s="24"/>
      <c r="H12" s="16"/>
      <c r="I12" s="23"/>
      <c r="J12" s="23"/>
      <c r="K12" s="37"/>
      <c r="L12" s="32">
        <v>1754156</v>
      </c>
      <c r="M12" s="32">
        <v>132</v>
      </c>
      <c r="N12" s="14">
        <f t="shared" si="2"/>
        <v>7.5249863752140635</v>
      </c>
      <c r="O12" s="14">
        <f t="shared" si="3"/>
        <v>2.0182290000305181</v>
      </c>
      <c r="P12" s="24"/>
      <c r="Q12" s="16"/>
      <c r="R12" s="23"/>
      <c r="S12" s="23"/>
      <c r="T12" s="37"/>
      <c r="U12" s="34">
        <v>1797840</v>
      </c>
      <c r="V12" s="32">
        <v>108</v>
      </c>
      <c r="W12" s="14">
        <f t="shared" si="4"/>
        <v>6.0072086503804565</v>
      </c>
      <c r="X12" s="14">
        <f t="shared" si="5"/>
        <v>1.7929601898045739</v>
      </c>
      <c r="Y12" s="24"/>
      <c r="Z12" s="16"/>
      <c r="AA12" s="23"/>
      <c r="AB12" s="23"/>
      <c r="AC12" s="38"/>
      <c r="AD12" s="9" t="s">
        <v>83</v>
      </c>
      <c r="AE12" s="9">
        <v>0.76849999999999996</v>
      </c>
      <c r="AF12" s="9"/>
      <c r="AG12" s="9"/>
      <c r="AH12" s="9" t="s">
        <v>83</v>
      </c>
      <c r="AI12" s="9">
        <v>0.71860000000000002</v>
      </c>
      <c r="AJ12" s="9"/>
      <c r="AK12" s="9"/>
      <c r="AL12" s="10" t="s">
        <v>83</v>
      </c>
      <c r="AM12" s="10">
        <v>0.83140000000000003</v>
      </c>
      <c r="AN12" s="10"/>
      <c r="AO12" s="10"/>
      <c r="AP12" s="11" t="s">
        <v>84</v>
      </c>
      <c r="AQ12" s="11" t="s">
        <v>85</v>
      </c>
      <c r="AR12" s="11"/>
      <c r="AS12" s="11"/>
      <c r="AT12" s="11" t="s">
        <v>83</v>
      </c>
      <c r="AU12" s="11" t="s">
        <v>86</v>
      </c>
      <c r="AV12" s="11"/>
      <c r="AW12" s="11"/>
      <c r="AX12" s="11" t="s">
        <v>83</v>
      </c>
      <c r="AY12" s="11" t="s">
        <v>87</v>
      </c>
      <c r="AZ12" s="9"/>
      <c r="BA12" s="9"/>
      <c r="BB12" s="9" t="s">
        <v>83</v>
      </c>
      <c r="BC12" s="9" t="s">
        <v>88</v>
      </c>
      <c r="BD12" s="9"/>
      <c r="BE12" s="9"/>
      <c r="BF12" s="9" t="s">
        <v>83</v>
      </c>
      <c r="BG12" s="9">
        <v>0.61219999999999997</v>
      </c>
      <c r="BH12" s="9"/>
      <c r="BI12" s="9"/>
      <c r="BJ12" s="9" t="s">
        <v>83</v>
      </c>
      <c r="BK12" s="9">
        <v>0.39979999999999999</v>
      </c>
      <c r="BL12" s="9"/>
      <c r="BM12" s="9"/>
      <c r="BN12" s="9" t="s">
        <v>83</v>
      </c>
      <c r="BO12" s="9">
        <v>0.18840000000000001</v>
      </c>
      <c r="BP12" s="9"/>
      <c r="BQ12" s="9"/>
      <c r="BR12" s="9" t="s">
        <v>83</v>
      </c>
      <c r="BS12" s="9">
        <v>7.6799999999999993E-2</v>
      </c>
      <c r="BT12" s="9"/>
      <c r="BU12" s="9"/>
      <c r="BV12" s="9" t="s">
        <v>83</v>
      </c>
      <c r="BW12" s="9">
        <v>0.18759999999999999</v>
      </c>
      <c r="BX12" s="9"/>
      <c r="BY12" s="9"/>
    </row>
    <row r="13" spans="1:77" ht="15.6" thickTop="1" thickBot="1" x14ac:dyDescent="0.35">
      <c r="A13" s="36"/>
      <c r="B13" s="32">
        <v>2020</v>
      </c>
      <c r="C13" s="32">
        <v>3611987</v>
      </c>
      <c r="D13" s="32">
        <v>277</v>
      </c>
      <c r="E13" s="14">
        <f t="shared" si="0"/>
        <v>7.6689091073694344</v>
      </c>
      <c r="F13" s="14">
        <f t="shared" si="1"/>
        <v>2.0371743767590949</v>
      </c>
      <c r="G13" s="24"/>
      <c r="H13" s="16"/>
      <c r="I13" s="23"/>
      <c r="J13" s="23"/>
      <c r="K13" s="37"/>
      <c r="L13" s="32">
        <v>1785503</v>
      </c>
      <c r="M13" s="32">
        <v>139</v>
      </c>
      <c r="N13" s="14">
        <f t="shared" si="2"/>
        <v>7.7849211118659563</v>
      </c>
      <c r="O13" s="14">
        <f t="shared" si="3"/>
        <v>2.0521886718840672</v>
      </c>
      <c r="P13" s="24"/>
      <c r="Q13" s="16"/>
      <c r="R13" s="23"/>
      <c r="S13" s="23"/>
      <c r="T13" s="37"/>
      <c r="U13" s="34">
        <v>1826484</v>
      </c>
      <c r="V13" s="32">
        <v>138</v>
      </c>
      <c r="W13" s="14">
        <f t="shared" si="4"/>
        <v>7.5555000755550008</v>
      </c>
      <c r="X13" s="14">
        <f t="shared" si="5"/>
        <v>2.0222757848716779</v>
      </c>
      <c r="Y13" s="24"/>
      <c r="Z13" s="16"/>
      <c r="AA13" s="23"/>
      <c r="AB13" s="23"/>
      <c r="AC13" s="38"/>
      <c r="AD13" s="9" t="s">
        <v>89</v>
      </c>
      <c r="AE13" s="9">
        <v>0.7107</v>
      </c>
      <c r="AF13" s="9"/>
      <c r="AG13" s="9"/>
      <c r="AH13" s="9" t="s">
        <v>89</v>
      </c>
      <c r="AI13" s="9">
        <v>0.6482</v>
      </c>
      <c r="AJ13" s="9"/>
      <c r="AK13" s="9"/>
      <c r="AL13" s="10" t="s">
        <v>89</v>
      </c>
      <c r="AM13" s="10">
        <v>0.7893</v>
      </c>
      <c r="AN13" s="10"/>
      <c r="AO13" s="10"/>
      <c r="AP13" s="11" t="s">
        <v>89</v>
      </c>
      <c r="AQ13" s="11" t="s">
        <v>90</v>
      </c>
      <c r="AR13" s="11"/>
      <c r="AS13" s="11"/>
      <c r="AT13" s="11" t="s">
        <v>89</v>
      </c>
      <c r="AU13" s="11" t="s">
        <v>91</v>
      </c>
      <c r="AV13" s="11"/>
      <c r="AW13" s="11"/>
      <c r="AX13" s="11" t="s">
        <v>89</v>
      </c>
      <c r="AY13" s="11" t="s">
        <v>92</v>
      </c>
      <c r="AZ13" s="9"/>
      <c r="BA13" s="9"/>
      <c r="BB13" s="9" t="s">
        <v>89</v>
      </c>
      <c r="BC13" s="9" t="s">
        <v>93</v>
      </c>
      <c r="BD13" s="9"/>
      <c r="BE13" s="9"/>
      <c r="BF13" s="9" t="s">
        <v>89</v>
      </c>
      <c r="BG13" s="9">
        <v>0.51519999999999999</v>
      </c>
      <c r="BH13" s="9"/>
      <c r="BI13" s="9"/>
      <c r="BJ13" s="9" t="s">
        <v>89</v>
      </c>
      <c r="BK13" s="9">
        <v>0.24970000000000001</v>
      </c>
      <c r="BL13" s="9"/>
      <c r="BM13" s="9"/>
      <c r="BN13" s="9" t="s">
        <v>89</v>
      </c>
      <c r="BO13" s="9">
        <v>-1.46E-2</v>
      </c>
      <c r="BP13" s="9"/>
      <c r="BQ13" s="9"/>
      <c r="BR13" s="9" t="s">
        <v>89</v>
      </c>
      <c r="BS13" s="9">
        <v>-0.154</v>
      </c>
      <c r="BT13" s="9"/>
      <c r="BU13" s="9"/>
      <c r="BV13" s="9" t="s">
        <v>89</v>
      </c>
      <c r="BW13" s="9">
        <v>-1.55E-2</v>
      </c>
      <c r="BX13" s="9"/>
      <c r="BY13" s="9"/>
    </row>
    <row r="14" spans="1:77" ht="15.6" thickTop="1" thickBot="1" x14ac:dyDescent="0.35">
      <c r="A14" s="39"/>
      <c r="B14" s="32">
        <v>2021</v>
      </c>
      <c r="C14" s="32">
        <v>3666669</v>
      </c>
      <c r="D14" s="32">
        <v>250</v>
      </c>
      <c r="E14" s="14">
        <f t="shared" si="0"/>
        <v>6.818177479341605</v>
      </c>
      <c r="F14" s="14">
        <f t="shared" si="1"/>
        <v>1.9195922043745062</v>
      </c>
      <c r="G14" s="29"/>
      <c r="H14" s="16"/>
      <c r="I14" s="28"/>
      <c r="J14" s="28"/>
      <c r="K14" s="40"/>
      <c r="L14" s="32">
        <v>1814643</v>
      </c>
      <c r="M14" s="32">
        <v>154</v>
      </c>
      <c r="N14" s="14">
        <f t="shared" si="2"/>
        <v>8.4865177337911639</v>
      </c>
      <c r="O14" s="14">
        <f t="shared" si="3"/>
        <v>2.1384787552644893</v>
      </c>
      <c r="P14" s="29"/>
      <c r="Q14" s="16"/>
      <c r="R14" s="28"/>
      <c r="S14" s="28"/>
      <c r="T14" s="40"/>
      <c r="U14" s="34">
        <v>1852026</v>
      </c>
      <c r="V14" s="32">
        <v>96</v>
      </c>
      <c r="W14" s="14">
        <f t="shared" si="4"/>
        <v>5.1835125424805053</v>
      </c>
      <c r="X14" s="14">
        <f t="shared" si="5"/>
        <v>1.6454829234714572</v>
      </c>
      <c r="Y14" s="29"/>
      <c r="Z14" s="16"/>
      <c r="AA14" s="28"/>
      <c r="AB14" s="28"/>
      <c r="AC14" s="41"/>
      <c r="AD14" s="9" t="s">
        <v>94</v>
      </c>
      <c r="AE14" s="9">
        <v>0.87670000000000003</v>
      </c>
      <c r="AF14" s="9"/>
      <c r="AG14" s="9"/>
      <c r="AH14" s="9" t="s">
        <v>94</v>
      </c>
      <c r="AI14" s="9">
        <v>0.84770000000000001</v>
      </c>
      <c r="AJ14" s="9"/>
      <c r="AK14" s="9"/>
      <c r="AL14" s="10" t="s">
        <v>94</v>
      </c>
      <c r="AM14" s="10">
        <v>0.91180000000000005</v>
      </c>
      <c r="AN14" s="10"/>
      <c r="AO14" s="10"/>
      <c r="AP14" s="11" t="s">
        <v>94</v>
      </c>
      <c r="AQ14" s="11" t="s">
        <v>95</v>
      </c>
      <c r="AR14" s="11"/>
      <c r="AS14" s="11"/>
      <c r="AT14" s="11" t="s">
        <v>94</v>
      </c>
      <c r="AU14" s="11" t="s">
        <v>96</v>
      </c>
      <c r="AV14" s="11"/>
      <c r="AW14" s="11"/>
      <c r="AX14" s="11" t="s">
        <v>94</v>
      </c>
      <c r="AY14" s="11" t="s">
        <v>97</v>
      </c>
      <c r="AZ14" s="9"/>
      <c r="BA14" s="9"/>
      <c r="BB14" s="9" t="s">
        <v>94</v>
      </c>
      <c r="BC14" s="9" t="s">
        <v>98</v>
      </c>
      <c r="BD14" s="9"/>
      <c r="BE14" s="9"/>
      <c r="BF14" s="9" t="s">
        <v>94</v>
      </c>
      <c r="BG14" s="9">
        <v>0.78239999999999998</v>
      </c>
      <c r="BH14" s="9"/>
      <c r="BI14" s="9"/>
      <c r="BJ14" s="9" t="s">
        <v>94</v>
      </c>
      <c r="BK14" s="9">
        <v>0.63229999999999997</v>
      </c>
      <c r="BL14" s="9"/>
      <c r="BM14" s="9"/>
      <c r="BN14" s="9" t="s">
        <v>94</v>
      </c>
      <c r="BO14" s="9">
        <v>0.434</v>
      </c>
      <c r="BP14" s="9"/>
      <c r="BQ14" s="9"/>
      <c r="BR14" s="9" t="s">
        <v>94</v>
      </c>
      <c r="BS14" s="9">
        <v>0.27710000000000001</v>
      </c>
      <c r="BT14" s="9"/>
      <c r="BU14" s="9"/>
      <c r="BV14" s="9" t="s">
        <v>94</v>
      </c>
      <c r="BW14" s="9">
        <v>0.43309999999999998</v>
      </c>
      <c r="BX14" s="9"/>
      <c r="BY14" s="9"/>
    </row>
    <row r="15" spans="1:77" ht="15.6" thickTop="1" thickBot="1" x14ac:dyDescent="0.35">
      <c r="A15" s="12" t="s">
        <v>99</v>
      </c>
      <c r="B15" s="13">
        <v>2016</v>
      </c>
      <c r="C15" s="13">
        <v>2684756</v>
      </c>
      <c r="D15" s="13">
        <v>215</v>
      </c>
      <c r="E15" s="14">
        <f t="shared" si="0"/>
        <v>8.0081765344783662</v>
      </c>
      <c r="F15" s="14">
        <f t="shared" si="1"/>
        <v>2.080463086534968</v>
      </c>
      <c r="G15" s="18">
        <v>5.2900000000000003E-2</v>
      </c>
      <c r="H15" s="16">
        <f t="shared" ref="H15" si="9">(EXP(G15)-1)*100</f>
        <v>5.4324207426816429</v>
      </c>
      <c r="I15" s="17">
        <f>(EXP(0.011) - 1) * 100</f>
        <v>1.1060722444719451</v>
      </c>
      <c r="J15" s="17">
        <f>(EXP(0.095) - 1) * 100</f>
        <v>9.965885512610285</v>
      </c>
      <c r="K15" s="18">
        <v>2.5600000000000001E-2</v>
      </c>
      <c r="L15" s="13">
        <v>1352637</v>
      </c>
      <c r="M15" s="13">
        <v>133</v>
      </c>
      <c r="N15" s="14">
        <f t="shared" si="2"/>
        <v>9.8326454178024107</v>
      </c>
      <c r="O15" s="14">
        <f t="shared" si="3"/>
        <v>2.2857080147189044</v>
      </c>
      <c r="P15" s="18">
        <v>5.2299999999999999E-2</v>
      </c>
      <c r="Q15" s="16">
        <f t="shared" ref="Q15" si="10">(EXP(P15)-1)*100</f>
        <v>5.3691802642767739</v>
      </c>
      <c r="R15" s="17">
        <f>(EXP(-0.005) - 1) * 100</f>
        <v>-0.49875208073176802</v>
      </c>
      <c r="S15" s="17">
        <f>(EXP(0.11) - 1) * 100</f>
        <v>11.627807045887128</v>
      </c>
      <c r="T15" s="18">
        <v>6.5799999999999997E-2</v>
      </c>
      <c r="U15" s="19">
        <v>1332119</v>
      </c>
      <c r="V15" s="13">
        <v>82</v>
      </c>
      <c r="W15" s="14">
        <f t="shared" si="4"/>
        <v>6.1556062183633751</v>
      </c>
      <c r="X15" s="14">
        <f t="shared" si="5"/>
        <v>1.8173632468031919</v>
      </c>
      <c r="Y15" s="18">
        <v>5.4300000000000001E-2</v>
      </c>
      <c r="Z15" s="16">
        <f t="shared" ref="Z15" si="11">(EXP(Y15)-1)*100</f>
        <v>5.5801295037283705</v>
      </c>
      <c r="AA15" s="17">
        <f>(EXP(-0.038) - 1) * 100</f>
        <v>-3.728705910880048</v>
      </c>
      <c r="AB15" s="17">
        <f>(EXP(0.147) - 1) * 100</f>
        <v>15.835396302985538</v>
      </c>
      <c r="AC15" s="20">
        <v>0.1779</v>
      </c>
      <c r="AD15" s="9" t="s">
        <v>100</v>
      </c>
      <c r="AE15" s="9">
        <v>1.8312999999999999</v>
      </c>
      <c r="AF15" s="9" t="s">
        <v>101</v>
      </c>
      <c r="AG15" s="9" t="s">
        <v>102</v>
      </c>
      <c r="AH15" s="9" t="s">
        <v>100</v>
      </c>
      <c r="AI15" s="9">
        <v>2.0367000000000002</v>
      </c>
      <c r="AJ15" s="9" t="s">
        <v>103</v>
      </c>
      <c r="AK15" s="9" t="s">
        <v>102</v>
      </c>
      <c r="AL15" s="10" t="s">
        <v>100</v>
      </c>
      <c r="AM15" s="10">
        <v>1.5667</v>
      </c>
      <c r="AN15" s="10" t="s">
        <v>104</v>
      </c>
      <c r="AO15" s="10" t="s">
        <v>102</v>
      </c>
      <c r="AP15" s="11" t="s">
        <v>100</v>
      </c>
      <c r="AQ15" s="11" t="s">
        <v>105</v>
      </c>
      <c r="AR15" s="11" t="s">
        <v>106</v>
      </c>
      <c r="AS15" s="11" t="s">
        <v>102</v>
      </c>
      <c r="AT15" s="11" t="s">
        <v>100</v>
      </c>
      <c r="AU15" s="11" t="s">
        <v>107</v>
      </c>
      <c r="AV15" s="11" t="s">
        <v>108</v>
      </c>
      <c r="AW15" s="11" t="s">
        <v>102</v>
      </c>
      <c r="AX15" s="11" t="s">
        <v>100</v>
      </c>
      <c r="AY15" s="11" t="s">
        <v>109</v>
      </c>
      <c r="AZ15" s="9" t="s">
        <v>110</v>
      </c>
      <c r="BA15" s="9" t="s">
        <v>111</v>
      </c>
      <c r="BB15" s="9" t="s">
        <v>100</v>
      </c>
      <c r="BC15" s="9" t="s">
        <v>112</v>
      </c>
      <c r="BD15" s="9" t="s">
        <v>113</v>
      </c>
      <c r="BE15" s="9" t="s">
        <v>102</v>
      </c>
      <c r="BF15" s="9" t="s">
        <v>100</v>
      </c>
      <c r="BG15" s="9">
        <v>2.2320000000000002</v>
      </c>
      <c r="BH15" s="9" t="s">
        <v>114</v>
      </c>
      <c r="BI15" s="9" t="s">
        <v>102</v>
      </c>
      <c r="BJ15" s="9" t="s">
        <v>100</v>
      </c>
      <c r="BK15" s="9">
        <v>1.81</v>
      </c>
      <c r="BL15" s="9" t="s">
        <v>115</v>
      </c>
      <c r="BM15" s="9" t="s">
        <v>102</v>
      </c>
      <c r="BN15" s="9" t="s">
        <v>100</v>
      </c>
      <c r="BO15" s="9">
        <v>2.2393000000000001</v>
      </c>
      <c r="BP15" s="9" t="s">
        <v>116</v>
      </c>
      <c r="BQ15" s="9" t="s">
        <v>102</v>
      </c>
      <c r="BR15" s="9" t="s">
        <v>100</v>
      </c>
      <c r="BS15" s="9">
        <v>2.4512999999999998</v>
      </c>
      <c r="BT15" s="9" t="s">
        <v>117</v>
      </c>
      <c r="BU15" s="9" t="s">
        <v>102</v>
      </c>
      <c r="BV15" s="9" t="s">
        <v>100</v>
      </c>
      <c r="BW15" s="9">
        <v>1.9387000000000001</v>
      </c>
      <c r="BX15" s="9" t="s">
        <v>118</v>
      </c>
      <c r="BY15" s="9" t="s">
        <v>102</v>
      </c>
    </row>
    <row r="16" spans="1:77" ht="15.6" thickTop="1" thickBot="1" x14ac:dyDescent="0.35">
      <c r="A16" s="21"/>
      <c r="B16" s="13">
        <v>2017</v>
      </c>
      <c r="C16" s="13">
        <v>2715557</v>
      </c>
      <c r="D16" s="13">
        <v>237</v>
      </c>
      <c r="E16" s="14">
        <f t="shared" si="0"/>
        <v>8.7274912660643835</v>
      </c>
      <c r="F16" s="14">
        <f t="shared" si="1"/>
        <v>2.1664779592591583</v>
      </c>
      <c r="G16" s="24"/>
      <c r="H16" s="16"/>
      <c r="I16" s="23"/>
      <c r="J16" s="23"/>
      <c r="K16" s="24"/>
      <c r="L16" s="13">
        <v>1368332</v>
      </c>
      <c r="M16" s="13">
        <v>129</v>
      </c>
      <c r="N16" s="14">
        <f t="shared" si="2"/>
        <v>9.4275365919966791</v>
      </c>
      <c r="O16" s="14">
        <f t="shared" si="3"/>
        <v>2.2436348315532566</v>
      </c>
      <c r="P16" s="24"/>
      <c r="Q16" s="16"/>
      <c r="R16" s="23"/>
      <c r="S16" s="23"/>
      <c r="T16" s="24"/>
      <c r="U16" s="19">
        <v>1347225</v>
      </c>
      <c r="V16" s="13">
        <v>108</v>
      </c>
      <c r="W16" s="14">
        <f t="shared" si="4"/>
        <v>8.016478316539553</v>
      </c>
      <c r="X16" s="14">
        <f t="shared" si="5"/>
        <v>2.0814992127893022</v>
      </c>
      <c r="Y16" s="24"/>
      <c r="Z16" s="16"/>
      <c r="AA16" s="23"/>
      <c r="AB16" s="23"/>
      <c r="AC16" s="25"/>
      <c r="AD16" s="9" t="s">
        <v>119</v>
      </c>
      <c r="AE16" s="9">
        <v>9.1999999999999998E-2</v>
      </c>
      <c r="AF16" s="9" t="s">
        <v>120</v>
      </c>
      <c r="AG16" s="9" t="s">
        <v>121</v>
      </c>
      <c r="AH16" s="9" t="s">
        <v>119</v>
      </c>
      <c r="AI16" s="9">
        <v>8.14E-2</v>
      </c>
      <c r="AJ16" s="9" t="s">
        <v>122</v>
      </c>
      <c r="AK16" s="9" t="s">
        <v>123</v>
      </c>
      <c r="AL16" s="10" t="s">
        <v>119</v>
      </c>
      <c r="AM16" s="10">
        <v>0.11</v>
      </c>
      <c r="AN16" s="10" t="s">
        <v>124</v>
      </c>
      <c r="AO16" s="10" t="s">
        <v>125</v>
      </c>
      <c r="AP16" s="11" t="s">
        <v>119</v>
      </c>
      <c r="AQ16" s="11" t="s">
        <v>126</v>
      </c>
      <c r="AR16" s="11" t="s">
        <v>127</v>
      </c>
      <c r="AS16" s="11" t="s">
        <v>128</v>
      </c>
      <c r="AT16" s="11" t="s">
        <v>119</v>
      </c>
      <c r="AU16" s="11" t="s">
        <v>129</v>
      </c>
      <c r="AV16" s="11" t="s">
        <v>130</v>
      </c>
      <c r="AW16" s="11" t="s">
        <v>131</v>
      </c>
      <c r="AX16" s="11" t="s">
        <v>119</v>
      </c>
      <c r="AY16" s="11" t="s">
        <v>132</v>
      </c>
      <c r="AZ16" s="9" t="s">
        <v>133</v>
      </c>
      <c r="BA16" s="9" t="s">
        <v>134</v>
      </c>
      <c r="BB16" s="9" t="s">
        <v>119</v>
      </c>
      <c r="BC16" s="9" t="s">
        <v>135</v>
      </c>
      <c r="BD16" s="9" t="s">
        <v>136</v>
      </c>
      <c r="BE16" s="9" t="s">
        <v>137</v>
      </c>
      <c r="BF16" s="9" t="s">
        <v>119</v>
      </c>
      <c r="BG16" s="9">
        <v>5.2299999999999999E-2</v>
      </c>
      <c r="BH16" s="9" t="s">
        <v>138</v>
      </c>
      <c r="BI16" s="9" t="s">
        <v>139</v>
      </c>
      <c r="BJ16" s="9" t="s">
        <v>119</v>
      </c>
      <c r="BK16" s="9">
        <v>5.4300000000000001E-2</v>
      </c>
      <c r="BL16" s="9" t="s">
        <v>140</v>
      </c>
      <c r="BM16" s="9" t="s">
        <v>141</v>
      </c>
      <c r="BN16" s="9" t="s">
        <v>119</v>
      </c>
      <c r="BO16" s="9">
        <v>2.1100000000000001E-2</v>
      </c>
      <c r="BP16" s="9" t="s">
        <v>142</v>
      </c>
      <c r="BQ16" s="9" t="s">
        <v>143</v>
      </c>
      <c r="BR16" s="9" t="s">
        <v>119</v>
      </c>
      <c r="BS16" s="9">
        <v>1.77E-2</v>
      </c>
      <c r="BT16" s="9" t="s">
        <v>144</v>
      </c>
      <c r="BU16" s="9" t="s">
        <v>145</v>
      </c>
      <c r="BV16" s="9" t="s">
        <v>119</v>
      </c>
      <c r="BW16" s="9">
        <v>2.8000000000000001E-2</v>
      </c>
      <c r="BX16" s="9" t="s">
        <v>146</v>
      </c>
      <c r="BY16" s="9" t="s">
        <v>147</v>
      </c>
    </row>
    <row r="17" spans="1:77" ht="12.6" customHeight="1" thickTop="1" thickBot="1" x14ac:dyDescent="0.35">
      <c r="A17" s="21"/>
      <c r="B17" s="13">
        <v>2018</v>
      </c>
      <c r="C17" s="13">
        <v>2746161</v>
      </c>
      <c r="D17" s="13">
        <v>245</v>
      </c>
      <c r="E17" s="14">
        <f t="shared" si="0"/>
        <v>8.9215453864503935</v>
      </c>
      <c r="F17" s="14">
        <f t="shared" si="1"/>
        <v>2.188469181188001</v>
      </c>
      <c r="G17" s="24"/>
      <c r="H17" s="16"/>
      <c r="I17" s="23"/>
      <c r="J17" s="23"/>
      <c r="K17" s="24"/>
      <c r="L17" s="13">
        <v>1383886</v>
      </c>
      <c r="M17" s="13">
        <v>159</v>
      </c>
      <c r="N17" s="14">
        <f t="shared" si="2"/>
        <v>11.489385686393243</v>
      </c>
      <c r="O17" s="14">
        <f t="shared" si="3"/>
        <v>2.4414236253654944</v>
      </c>
      <c r="P17" s="24"/>
      <c r="Q17" s="16"/>
      <c r="R17" s="23"/>
      <c r="S17" s="23"/>
      <c r="T17" s="24"/>
      <c r="U17" s="19">
        <v>1362275</v>
      </c>
      <c r="V17" s="13">
        <v>86</v>
      </c>
      <c r="W17" s="14">
        <f t="shared" si="4"/>
        <v>6.3129691141656421</v>
      </c>
      <c r="X17" s="14">
        <f t="shared" si="5"/>
        <v>1.8426061069555961</v>
      </c>
      <c r="Y17" s="24"/>
      <c r="Z17" s="16"/>
      <c r="AA17" s="23"/>
      <c r="AB17" s="23"/>
      <c r="AC17" s="25"/>
      <c r="AD17" s="9" t="s">
        <v>148</v>
      </c>
      <c r="AE17" s="9" t="s">
        <v>149</v>
      </c>
      <c r="AF17" s="9"/>
      <c r="AG17" s="9"/>
      <c r="AH17" s="9" t="s">
        <v>148</v>
      </c>
      <c r="AI17" s="9" t="s">
        <v>150</v>
      </c>
      <c r="AJ17" s="9"/>
      <c r="AK17" s="9"/>
      <c r="AL17" s="10" t="s">
        <v>148</v>
      </c>
      <c r="AM17" s="10" t="s">
        <v>151</v>
      </c>
      <c r="AN17" s="10"/>
      <c r="AO17" s="10"/>
      <c r="AP17" s="11" t="s">
        <v>148</v>
      </c>
      <c r="AQ17" s="11" t="s">
        <v>152</v>
      </c>
      <c r="AR17" s="11"/>
      <c r="AS17" s="11"/>
      <c r="AT17" s="11" t="s">
        <v>148</v>
      </c>
      <c r="AU17" s="11" t="s">
        <v>153</v>
      </c>
      <c r="AV17" s="11"/>
      <c r="AW17" s="11"/>
      <c r="AX17" s="11" t="s">
        <v>148</v>
      </c>
      <c r="AY17" s="11" t="s">
        <v>154</v>
      </c>
      <c r="AZ17" s="9"/>
      <c r="BA17" s="9"/>
      <c r="BB17" s="9" t="s">
        <v>148</v>
      </c>
      <c r="BC17" s="9" t="s">
        <v>155</v>
      </c>
      <c r="BD17" s="9"/>
      <c r="BE17" s="9"/>
      <c r="BF17" s="9" t="s">
        <v>148</v>
      </c>
      <c r="BG17" s="9" t="s">
        <v>156</v>
      </c>
      <c r="BH17" s="9"/>
      <c r="BI17" s="9"/>
      <c r="BJ17" s="9" t="s">
        <v>148</v>
      </c>
      <c r="BK17" s="9" t="s">
        <v>157</v>
      </c>
      <c r="BL17" s="9"/>
      <c r="BM17" s="9"/>
      <c r="BN17" s="9" t="s">
        <v>148</v>
      </c>
      <c r="BO17" s="9" t="s">
        <v>158</v>
      </c>
      <c r="BP17" s="9"/>
      <c r="BQ17" s="9"/>
      <c r="BR17" s="9" t="s">
        <v>148</v>
      </c>
      <c r="BS17" s="9" t="s">
        <v>159</v>
      </c>
      <c r="BT17" s="9"/>
      <c r="BU17" s="9"/>
      <c r="BV17" s="9" t="s">
        <v>148</v>
      </c>
      <c r="BW17" s="9" t="s">
        <v>160</v>
      </c>
      <c r="BX17" s="9"/>
      <c r="BY17" s="9"/>
    </row>
    <row r="18" spans="1:77" ht="13.95" customHeight="1" thickTop="1" thickBot="1" x14ac:dyDescent="0.35">
      <c r="A18" s="21"/>
      <c r="B18" s="13">
        <v>2019</v>
      </c>
      <c r="C18" s="13">
        <v>2777028</v>
      </c>
      <c r="D18" s="13">
        <v>269</v>
      </c>
      <c r="E18" s="14">
        <f t="shared" si="0"/>
        <v>9.6866146110158056</v>
      </c>
      <c r="F18" s="14">
        <f t="shared" si="1"/>
        <v>2.2707449955107717</v>
      </c>
      <c r="G18" s="24"/>
      <c r="H18" s="16"/>
      <c r="I18" s="23"/>
      <c r="J18" s="23"/>
      <c r="K18" s="24"/>
      <c r="L18" s="13">
        <v>1399467</v>
      </c>
      <c r="M18" s="13">
        <v>173</v>
      </c>
      <c r="N18" s="14">
        <f t="shared" si="2"/>
        <v>12.361849189727232</v>
      </c>
      <c r="O18" s="14">
        <f t="shared" si="3"/>
        <v>2.5146150516583177</v>
      </c>
      <c r="P18" s="24"/>
      <c r="Q18" s="16"/>
      <c r="R18" s="23"/>
      <c r="S18" s="23"/>
      <c r="T18" s="24"/>
      <c r="U18" s="19">
        <v>1377561</v>
      </c>
      <c r="V18" s="13">
        <v>96</v>
      </c>
      <c r="W18" s="14">
        <f t="shared" si="4"/>
        <v>6.9688384035262319</v>
      </c>
      <c r="X18" s="14">
        <f t="shared" si="5"/>
        <v>1.9414485542877293</v>
      </c>
      <c r="Y18" s="24"/>
      <c r="Z18" s="16"/>
      <c r="AA18" s="23"/>
      <c r="AB18" s="23"/>
      <c r="AC18" s="25"/>
      <c r="AD18" s="9" t="s">
        <v>161</v>
      </c>
      <c r="AE18" s="9" t="s">
        <v>162</v>
      </c>
      <c r="AF18" s="9"/>
      <c r="AG18" s="9"/>
      <c r="AH18" s="9" t="s">
        <v>161</v>
      </c>
      <c r="AI18" s="9" t="s">
        <v>163</v>
      </c>
      <c r="AJ18" s="9"/>
      <c r="AK18" s="9"/>
      <c r="AL18" s="10" t="s">
        <v>161</v>
      </c>
      <c r="AM18" s="10" t="s">
        <v>164</v>
      </c>
      <c r="AN18" s="10"/>
      <c r="AO18" s="10"/>
      <c r="AP18" s="11" t="s">
        <v>161</v>
      </c>
      <c r="AQ18" s="11" t="s">
        <v>165</v>
      </c>
      <c r="AR18" s="11"/>
      <c r="AS18" s="11"/>
      <c r="AT18" s="11" t="s">
        <v>161</v>
      </c>
      <c r="AU18" s="11" t="s">
        <v>166</v>
      </c>
      <c r="AV18" s="11"/>
      <c r="AW18" s="11"/>
      <c r="AX18" s="11" t="s">
        <v>161</v>
      </c>
      <c r="AY18" s="11" t="s">
        <v>167</v>
      </c>
      <c r="AZ18" s="9"/>
      <c r="BA18" s="9"/>
      <c r="BB18" s="9" t="s">
        <v>161</v>
      </c>
      <c r="BC18" s="9" t="s">
        <v>168</v>
      </c>
      <c r="BD18" s="9"/>
      <c r="BE18" s="9"/>
      <c r="BF18" s="9" t="s">
        <v>161</v>
      </c>
      <c r="BG18" s="9" t="s">
        <v>169</v>
      </c>
      <c r="BH18" s="9"/>
      <c r="BI18" s="9"/>
      <c r="BJ18" s="9" t="s">
        <v>161</v>
      </c>
      <c r="BK18" s="9" t="s">
        <v>170</v>
      </c>
      <c r="BL18" s="9"/>
      <c r="BM18" s="9"/>
      <c r="BN18" s="9" t="s">
        <v>161</v>
      </c>
      <c r="BO18" s="9" t="s">
        <v>171</v>
      </c>
      <c r="BP18" s="9"/>
      <c r="BQ18" s="9"/>
      <c r="BR18" s="9" t="s">
        <v>161</v>
      </c>
      <c r="BS18" s="9" t="s">
        <v>172</v>
      </c>
      <c r="BT18" s="9"/>
      <c r="BU18" s="9"/>
      <c r="BV18" s="9" t="s">
        <v>161</v>
      </c>
      <c r="BW18" s="9" t="s">
        <v>173</v>
      </c>
      <c r="BX18" s="9"/>
      <c r="BY18" s="9"/>
    </row>
    <row r="19" spans="1:77" ht="15.6" thickTop="1" thickBot="1" x14ac:dyDescent="0.35">
      <c r="A19" s="21"/>
      <c r="B19" s="13">
        <v>2020</v>
      </c>
      <c r="C19" s="13">
        <v>2806866</v>
      </c>
      <c r="D19" s="13">
        <v>312</v>
      </c>
      <c r="E19" s="14">
        <f t="shared" si="0"/>
        <v>11.115600103460585</v>
      </c>
      <c r="F19" s="14">
        <f t="shared" si="1"/>
        <v>2.4083495363735374</v>
      </c>
      <c r="G19" s="24"/>
      <c r="H19" s="16"/>
      <c r="I19" s="23"/>
      <c r="J19" s="23"/>
      <c r="K19" s="24"/>
      <c r="L19" s="13">
        <v>1414705</v>
      </c>
      <c r="M19" s="13">
        <v>183</v>
      </c>
      <c r="N19" s="14">
        <f t="shared" si="2"/>
        <v>12.935559003467153</v>
      </c>
      <c r="O19" s="14">
        <f t="shared" si="3"/>
        <v>2.5599800310526395</v>
      </c>
      <c r="P19" s="24"/>
      <c r="Q19" s="16"/>
      <c r="R19" s="23"/>
      <c r="S19" s="23"/>
      <c r="T19" s="24"/>
      <c r="U19" s="19">
        <v>1392161</v>
      </c>
      <c r="V19" s="13">
        <v>129</v>
      </c>
      <c r="W19" s="14">
        <f t="shared" si="4"/>
        <v>9.2661696456085192</v>
      </c>
      <c r="X19" s="14">
        <f t="shared" si="5"/>
        <v>2.226370095224067</v>
      </c>
      <c r="Y19" s="24"/>
      <c r="Z19" s="16"/>
      <c r="AA19" s="23"/>
      <c r="AB19" s="23"/>
      <c r="AC19" s="25"/>
      <c r="AD19" s="9" t="s">
        <v>174</v>
      </c>
      <c r="AE19" s="9" t="s">
        <v>175</v>
      </c>
      <c r="AF19" s="9"/>
      <c r="AG19" s="9"/>
      <c r="AH19" s="9" t="s">
        <v>174</v>
      </c>
      <c r="AI19" s="9" t="s">
        <v>175</v>
      </c>
      <c r="AJ19" s="9"/>
      <c r="AK19" s="9"/>
      <c r="AL19" s="10" t="s">
        <v>174</v>
      </c>
      <c r="AM19" s="10" t="s">
        <v>175</v>
      </c>
      <c r="AN19" s="10"/>
      <c r="AO19" s="10"/>
      <c r="AP19" s="11" t="s">
        <v>174</v>
      </c>
      <c r="AQ19" s="11" t="s">
        <v>175</v>
      </c>
      <c r="AR19" s="11"/>
      <c r="AS19" s="11"/>
      <c r="AT19" s="11" t="s">
        <v>174</v>
      </c>
      <c r="AU19" s="11" t="s">
        <v>175</v>
      </c>
      <c r="AV19" s="11"/>
      <c r="AW19" s="11"/>
      <c r="AX19" s="11" t="s">
        <v>174</v>
      </c>
      <c r="AY19" s="11" t="s">
        <v>175</v>
      </c>
      <c r="AZ19" s="9"/>
      <c r="BA19" s="9"/>
      <c r="BB19" s="9" t="s">
        <v>174</v>
      </c>
      <c r="BC19" s="9" t="s">
        <v>175</v>
      </c>
      <c r="BD19" s="9"/>
      <c r="BE19" s="9"/>
      <c r="BF19" s="9" t="s">
        <v>174</v>
      </c>
      <c r="BG19" s="9" t="s">
        <v>175</v>
      </c>
      <c r="BH19" s="9"/>
      <c r="BI19" s="9"/>
      <c r="BJ19" s="9" t="s">
        <v>174</v>
      </c>
      <c r="BK19" s="9" t="s">
        <v>175</v>
      </c>
      <c r="BL19" s="9"/>
      <c r="BM19" s="9"/>
      <c r="BN19" s="9" t="s">
        <v>174</v>
      </c>
      <c r="BO19" s="9" t="s">
        <v>175</v>
      </c>
      <c r="BP19" s="9"/>
      <c r="BQ19" s="9"/>
      <c r="BR19" s="9" t="s">
        <v>174</v>
      </c>
      <c r="BS19" s="9" t="s">
        <v>175</v>
      </c>
      <c r="BT19" s="9"/>
      <c r="BU19" s="9"/>
      <c r="BV19" s="9" t="s">
        <v>174</v>
      </c>
      <c r="BW19" s="9" t="s">
        <v>175</v>
      </c>
      <c r="BX19" s="9"/>
      <c r="BY19" s="9"/>
    </row>
    <row r="20" spans="1:77" ht="15.6" thickTop="1" thickBot="1" x14ac:dyDescent="0.35">
      <c r="A20" s="26"/>
      <c r="B20" s="13">
        <v>2021</v>
      </c>
      <c r="C20" s="13">
        <v>2831943</v>
      </c>
      <c r="D20" s="13">
        <v>279</v>
      </c>
      <c r="E20" s="14">
        <f t="shared" si="0"/>
        <v>9.8518932054776513</v>
      </c>
      <c r="F20" s="14">
        <f t="shared" si="1"/>
        <v>2.2876636403170436</v>
      </c>
      <c r="G20" s="29"/>
      <c r="H20" s="16"/>
      <c r="I20" s="28"/>
      <c r="J20" s="28"/>
      <c r="K20" s="29"/>
      <c r="L20" s="13">
        <v>1427885</v>
      </c>
      <c r="M20" s="13">
        <v>165</v>
      </c>
      <c r="N20" s="14">
        <f t="shared" si="2"/>
        <v>11.555552442948837</v>
      </c>
      <c r="O20" s="14">
        <f t="shared" si="3"/>
        <v>2.4471660524449201</v>
      </c>
      <c r="P20" s="29"/>
      <c r="Q20" s="16"/>
      <c r="R20" s="28"/>
      <c r="S20" s="28"/>
      <c r="T20" s="29"/>
      <c r="U20" s="19">
        <v>1404058</v>
      </c>
      <c r="V20" s="13">
        <v>114</v>
      </c>
      <c r="W20" s="14">
        <f t="shared" si="4"/>
        <v>8.1193227060420572</v>
      </c>
      <c r="X20" s="14">
        <f t="shared" si="5"/>
        <v>2.0942467401087765</v>
      </c>
      <c r="Y20" s="29"/>
      <c r="Z20" s="16"/>
      <c r="AA20" s="28"/>
      <c r="AB20" s="28"/>
      <c r="AC20" s="29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</row>
    <row r="21" spans="1:77" ht="15" customHeight="1" thickTop="1" thickBot="1" x14ac:dyDescent="0.35">
      <c r="A21" s="31" t="s">
        <v>176</v>
      </c>
      <c r="B21" s="32">
        <v>2016</v>
      </c>
      <c r="C21" s="32">
        <v>2823570</v>
      </c>
      <c r="D21" s="32">
        <v>240</v>
      </c>
      <c r="E21" s="14">
        <f t="shared" si="0"/>
        <v>8.4998778142564202</v>
      </c>
      <c r="F21" s="14">
        <f t="shared" si="1"/>
        <v>2.1400517885995902</v>
      </c>
      <c r="G21" s="18">
        <v>2.1100000000000001E-2</v>
      </c>
      <c r="H21" s="16">
        <f t="shared" ref="H21" si="12">(EXP(G21)-1)*100</f>
        <v>2.1324178948972872</v>
      </c>
      <c r="I21" s="17">
        <f>(EXP(-0.04) - 1) * 100</f>
        <v>-3.9210560847676823</v>
      </c>
      <c r="J21" s="17">
        <f>(EXP(0.082) - 1) * 100</f>
        <v>8.5455809829549025</v>
      </c>
      <c r="K21" s="33">
        <v>0.38979999999999998</v>
      </c>
      <c r="L21" s="32">
        <v>1470560</v>
      </c>
      <c r="M21" s="32">
        <v>146</v>
      </c>
      <c r="N21" s="14">
        <f t="shared" si="2"/>
        <v>9.9281906212599278</v>
      </c>
      <c r="O21" s="14">
        <f>LN(N21)</f>
        <v>2.2953782480866285</v>
      </c>
      <c r="P21" s="18">
        <v>1.77E-2</v>
      </c>
      <c r="Q21" s="16">
        <f t="shared" ref="Q21" si="13">(EXP(P21)-1)*100</f>
        <v>1.7857573309629338</v>
      </c>
      <c r="R21" s="17">
        <f>(EXP(-0.068) - 1) * 100</f>
        <v>-6.5739526422786465</v>
      </c>
      <c r="S21" s="17">
        <f>(EXP(0.103) - 1) * 100</f>
        <v>10.849140907600718</v>
      </c>
      <c r="T21" s="43">
        <v>0.59499999999999997</v>
      </c>
      <c r="U21" s="34">
        <v>1353010</v>
      </c>
      <c r="V21" s="32">
        <v>94</v>
      </c>
      <c r="W21" s="14">
        <f t="shared" si="4"/>
        <v>6.947472672042335</v>
      </c>
      <c r="X21" s="14">
        <f t="shared" si="5"/>
        <v>1.9383779491316195</v>
      </c>
      <c r="Y21" s="18">
        <v>2.8000000000000001E-2</v>
      </c>
      <c r="Z21" s="16">
        <f t="shared" ref="Z21" si="14">(EXP(Y21)-1)*100</f>
        <v>2.8395684421425038</v>
      </c>
      <c r="AA21" s="17">
        <f>(EXP(-0.053) - 1) * 100</f>
        <v>-5.1619987517701809</v>
      </c>
      <c r="AB21" s="17">
        <f>(EXP(0.109) - 1) * 100</f>
        <v>11.516235034144785</v>
      </c>
      <c r="AC21" s="33">
        <v>0.39090000000000003</v>
      </c>
      <c r="AL21" s="42"/>
      <c r="AM21" s="42"/>
      <c r="AN21" s="42"/>
      <c r="AO21" s="42"/>
      <c r="AQ21" s="42"/>
      <c r="AR21" s="42"/>
      <c r="AS21" s="42"/>
      <c r="AT21" s="42"/>
      <c r="AU21" s="42"/>
      <c r="AV21" s="42"/>
      <c r="AW21" s="42"/>
      <c r="AX21" s="42"/>
      <c r="AY21" s="42"/>
    </row>
    <row r="22" spans="1:77" ht="15.6" thickTop="1" thickBot="1" x14ac:dyDescent="0.35">
      <c r="A22" s="36"/>
      <c r="B22" s="32">
        <v>2017</v>
      </c>
      <c r="C22" s="32">
        <v>2850314</v>
      </c>
      <c r="D22" s="32">
        <v>309</v>
      </c>
      <c r="E22" s="14">
        <f t="shared" si="0"/>
        <v>10.840910861048993</v>
      </c>
      <c r="F22" s="14">
        <f t="shared" si="1"/>
        <v>2.3833270202534118</v>
      </c>
      <c r="G22" s="24"/>
      <c r="H22" s="16"/>
      <c r="I22" s="23"/>
      <c r="J22" s="23"/>
      <c r="K22" s="37"/>
      <c r="L22" s="32">
        <v>1484706</v>
      </c>
      <c r="M22" s="32">
        <v>202</v>
      </c>
      <c r="N22" s="14">
        <f t="shared" si="2"/>
        <v>13.605387194501809</v>
      </c>
      <c r="O22" s="14">
        <f t="shared" si="3"/>
        <v>2.6104658315510632</v>
      </c>
      <c r="P22" s="24"/>
      <c r="Q22" s="16"/>
      <c r="R22" s="23"/>
      <c r="S22" s="23"/>
      <c r="T22" s="44"/>
      <c r="U22" s="34">
        <v>1365608</v>
      </c>
      <c r="V22" s="32">
        <v>107</v>
      </c>
      <c r="W22" s="14">
        <f t="shared" si="4"/>
        <v>7.8353378129009199</v>
      </c>
      <c r="X22" s="14">
        <f t="shared" si="5"/>
        <v>2.0586439907561118</v>
      </c>
      <c r="Y22" s="24"/>
      <c r="Z22" s="16"/>
      <c r="AA22" s="23"/>
      <c r="AB22" s="23"/>
      <c r="AC22" s="37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</row>
    <row r="23" spans="1:77" ht="15.6" thickTop="1" thickBot="1" x14ac:dyDescent="0.35">
      <c r="A23" s="36"/>
      <c r="B23" s="32">
        <v>2018</v>
      </c>
      <c r="C23" s="32">
        <v>2875413</v>
      </c>
      <c r="D23" s="32">
        <v>300</v>
      </c>
      <c r="E23" s="14">
        <f t="shared" si="0"/>
        <v>10.433283844790296</v>
      </c>
      <c r="F23" s="14">
        <f t="shared" si="1"/>
        <v>2.3450010655559139</v>
      </c>
      <c r="G23" s="24"/>
      <c r="H23" s="16"/>
      <c r="I23" s="23"/>
      <c r="J23" s="23"/>
      <c r="K23" s="37"/>
      <c r="L23" s="32">
        <v>1498002</v>
      </c>
      <c r="M23" s="32">
        <v>210</v>
      </c>
      <c r="N23" s="14">
        <f t="shared" si="2"/>
        <v>14.01867287226586</v>
      </c>
      <c r="O23" s="14">
        <f t="shared" si="3"/>
        <v>2.6403902175158018</v>
      </c>
      <c r="P23" s="24"/>
      <c r="Q23" s="16"/>
      <c r="R23" s="23"/>
      <c r="S23" s="23"/>
      <c r="T23" s="44"/>
      <c r="U23" s="34">
        <v>1377411</v>
      </c>
      <c r="V23" s="32">
        <v>90</v>
      </c>
      <c r="W23" s="14">
        <f t="shared" si="4"/>
        <v>6.5339974778769738</v>
      </c>
      <c r="X23" s="14">
        <f t="shared" si="5"/>
        <v>1.877018927178953</v>
      </c>
      <c r="Y23" s="24"/>
      <c r="Z23" s="16"/>
      <c r="AA23" s="23"/>
      <c r="AB23" s="23"/>
      <c r="AC23" s="37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</row>
    <row r="24" spans="1:77" ht="15.6" thickTop="1" thickBot="1" x14ac:dyDescent="0.35">
      <c r="A24" s="36"/>
      <c r="B24" s="32">
        <v>2019</v>
      </c>
      <c r="C24" s="32">
        <v>2899708</v>
      </c>
      <c r="D24" s="32">
        <v>302</v>
      </c>
      <c r="E24" s="14">
        <f t="shared" si="0"/>
        <v>10.414841770274801</v>
      </c>
      <c r="F24" s="14">
        <f t="shared" si="1"/>
        <v>2.3432318821131117</v>
      </c>
      <c r="G24" s="24"/>
      <c r="H24" s="16"/>
      <c r="I24" s="23"/>
      <c r="J24" s="23"/>
      <c r="K24" s="37"/>
      <c r="L24" s="32">
        <v>1510946</v>
      </c>
      <c r="M24" s="32">
        <v>184</v>
      </c>
      <c r="N24" s="14">
        <f t="shared" si="2"/>
        <v>12.177801192100842</v>
      </c>
      <c r="O24" s="14">
        <f t="shared" si="3"/>
        <v>2.4996147198848582</v>
      </c>
      <c r="P24" s="24"/>
      <c r="Q24" s="16"/>
      <c r="R24" s="23"/>
      <c r="S24" s="23"/>
      <c r="T24" s="44"/>
      <c r="U24" s="34">
        <v>1388762</v>
      </c>
      <c r="V24" s="32">
        <v>118</v>
      </c>
      <c r="W24" s="14">
        <f t="shared" si="4"/>
        <v>8.496776265479614</v>
      </c>
      <c r="X24" s="14">
        <f t="shared" si="5"/>
        <v>2.1396868286731618</v>
      </c>
      <c r="Y24" s="24"/>
      <c r="Z24" s="16"/>
      <c r="AA24" s="23"/>
      <c r="AB24" s="23"/>
      <c r="AC24" s="37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</row>
    <row r="25" spans="1:77" ht="15.6" thickTop="1" thickBot="1" x14ac:dyDescent="0.35">
      <c r="A25" s="36"/>
      <c r="B25" s="32">
        <v>2020</v>
      </c>
      <c r="C25" s="32">
        <v>2921417</v>
      </c>
      <c r="D25" s="32">
        <v>317</v>
      </c>
      <c r="E25" s="14">
        <f t="shared" si="0"/>
        <v>10.850898724831135</v>
      </c>
      <c r="F25" s="14">
        <f t="shared" si="1"/>
        <v>2.3842479083377772</v>
      </c>
      <c r="G25" s="24"/>
      <c r="H25" s="16"/>
      <c r="I25" s="23"/>
      <c r="J25" s="23"/>
      <c r="K25" s="37"/>
      <c r="L25" s="32">
        <v>1522885</v>
      </c>
      <c r="M25" s="32">
        <v>191</v>
      </c>
      <c r="N25" s="14">
        <f t="shared" si="2"/>
        <v>12.541984457132351</v>
      </c>
      <c r="O25" s="14">
        <f t="shared" si="3"/>
        <v>2.5290817728545814</v>
      </c>
      <c r="P25" s="24"/>
      <c r="Q25" s="16"/>
      <c r="R25" s="23"/>
      <c r="S25" s="23"/>
      <c r="T25" s="44"/>
      <c r="U25" s="34">
        <v>1398532</v>
      </c>
      <c r="V25" s="32">
        <v>126</v>
      </c>
      <c r="W25" s="14">
        <f t="shared" si="4"/>
        <v>9.00944704876256</v>
      </c>
      <c r="X25" s="14">
        <f t="shared" si="5"/>
        <v>2.1982736989004157</v>
      </c>
      <c r="Y25" s="24"/>
      <c r="Z25" s="16"/>
      <c r="AA25" s="23"/>
      <c r="AB25" s="23"/>
      <c r="AC25" s="37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</row>
    <row r="26" spans="1:77" ht="15.6" thickTop="1" thickBot="1" x14ac:dyDescent="0.35">
      <c r="A26" s="39"/>
      <c r="B26" s="32">
        <v>2021</v>
      </c>
      <c r="C26" s="32">
        <v>2938025</v>
      </c>
      <c r="D26" s="32">
        <v>290</v>
      </c>
      <c r="E26" s="14">
        <f t="shared" si="0"/>
        <v>9.8705763225295904</v>
      </c>
      <c r="F26" s="14">
        <f t="shared" si="1"/>
        <v>2.2895582430810664</v>
      </c>
      <c r="G26" s="29"/>
      <c r="H26" s="16"/>
      <c r="I26" s="28"/>
      <c r="J26" s="28"/>
      <c r="K26" s="40"/>
      <c r="L26" s="32">
        <v>1532520</v>
      </c>
      <c r="M26" s="32">
        <v>186</v>
      </c>
      <c r="N26" s="14">
        <f t="shared" si="2"/>
        <v>12.136872601988882</v>
      </c>
      <c r="O26" s="14">
        <f t="shared" si="3"/>
        <v>2.4962481414051219</v>
      </c>
      <c r="P26" s="29"/>
      <c r="Q26" s="16"/>
      <c r="R26" s="28"/>
      <c r="S26" s="28"/>
      <c r="T26" s="45"/>
      <c r="U26" s="34">
        <v>1405505</v>
      </c>
      <c r="V26" s="32">
        <v>104</v>
      </c>
      <c r="W26" s="14">
        <f t="shared" si="4"/>
        <v>7.3994756333132932</v>
      </c>
      <c r="X26" s="14">
        <f t="shared" si="5"/>
        <v>2.0014091373363416</v>
      </c>
      <c r="Y26" s="29"/>
      <c r="Z26" s="16"/>
      <c r="AA26" s="28"/>
      <c r="AB26" s="28"/>
      <c r="AC26" s="40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</row>
    <row r="27" spans="1:77" x14ac:dyDescent="0.3">
      <c r="F27" s="9"/>
      <c r="P27" s="9"/>
      <c r="Y27" s="9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</row>
    <row r="31" spans="1:77" ht="15" customHeight="1" thickBot="1" x14ac:dyDescent="0.35">
      <c r="A31" s="46"/>
      <c r="B31" s="47"/>
      <c r="C31" s="48" t="s">
        <v>177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77" ht="15" thickBot="1" x14ac:dyDescent="0.35">
      <c r="A32" s="50" t="s">
        <v>0</v>
      </c>
      <c r="B32" s="51"/>
      <c r="C32" s="52" t="s">
        <v>178</v>
      </c>
      <c r="D32" s="53"/>
      <c r="E32" s="53"/>
      <c r="F32" s="53"/>
      <c r="G32" s="53"/>
      <c r="H32" s="53"/>
      <c r="I32" s="53"/>
      <c r="J32" s="53"/>
      <c r="K32" s="54"/>
      <c r="L32" s="52" t="s">
        <v>179</v>
      </c>
      <c r="M32" s="53"/>
      <c r="N32" s="53"/>
      <c r="O32" s="53"/>
      <c r="P32" s="53"/>
      <c r="Q32" s="53"/>
      <c r="R32" s="53"/>
      <c r="S32" s="53"/>
      <c r="T32" s="54"/>
      <c r="U32" s="52" t="s">
        <v>180</v>
      </c>
      <c r="V32" s="53"/>
      <c r="W32" s="53"/>
      <c r="X32" s="53"/>
      <c r="Y32" s="53"/>
      <c r="Z32" s="53"/>
      <c r="AA32" s="53"/>
      <c r="AB32" s="53"/>
      <c r="AC32" s="54"/>
    </row>
    <row r="33" spans="1:77" ht="21" thickBot="1" x14ac:dyDescent="0.35">
      <c r="A33" s="55" t="s">
        <v>16</v>
      </c>
      <c r="B33" s="7" t="s">
        <v>17</v>
      </c>
      <c r="C33" s="7" t="s">
        <v>18</v>
      </c>
      <c r="D33" s="7" t="s">
        <v>19</v>
      </c>
      <c r="E33" s="7" t="s">
        <v>20</v>
      </c>
      <c r="F33" s="6" t="s">
        <v>21</v>
      </c>
      <c r="G33" s="6" t="s">
        <v>22</v>
      </c>
      <c r="H33" s="7" t="s">
        <v>23</v>
      </c>
      <c r="I33" s="7" t="s">
        <v>24</v>
      </c>
      <c r="J33" s="7" t="s">
        <v>25</v>
      </c>
      <c r="K33" s="7" t="s">
        <v>26</v>
      </c>
      <c r="L33" s="7" t="s">
        <v>18</v>
      </c>
      <c r="M33" s="7" t="s">
        <v>19</v>
      </c>
      <c r="N33" s="7" t="s">
        <v>20</v>
      </c>
      <c r="O33" s="6" t="s">
        <v>21</v>
      </c>
      <c r="P33" s="6" t="s">
        <v>22</v>
      </c>
      <c r="Q33" s="7" t="s">
        <v>23</v>
      </c>
      <c r="R33" s="7" t="s">
        <v>24</v>
      </c>
      <c r="S33" s="7" t="s">
        <v>25</v>
      </c>
      <c r="T33" s="7" t="s">
        <v>26</v>
      </c>
      <c r="U33" s="55" t="s">
        <v>18</v>
      </c>
      <c r="V33" s="7" t="s">
        <v>19</v>
      </c>
      <c r="W33" s="7" t="s">
        <v>20</v>
      </c>
      <c r="X33" s="6" t="s">
        <v>21</v>
      </c>
      <c r="Y33" s="6" t="s">
        <v>22</v>
      </c>
      <c r="Z33" s="7" t="s">
        <v>23</v>
      </c>
      <c r="AA33" s="7" t="s">
        <v>24</v>
      </c>
      <c r="AB33" s="7" t="s">
        <v>25</v>
      </c>
      <c r="AC33" s="7" t="s">
        <v>26</v>
      </c>
      <c r="AD33" s="4" t="s">
        <v>181</v>
      </c>
      <c r="AE33" s="4"/>
      <c r="AF33" s="4"/>
      <c r="AG33" s="4"/>
      <c r="AH33" s="4" t="s">
        <v>182</v>
      </c>
      <c r="AI33" s="4"/>
      <c r="AJ33" s="4"/>
      <c r="AK33" s="4"/>
      <c r="AL33" s="4" t="s">
        <v>183</v>
      </c>
      <c r="AM33" s="4"/>
      <c r="AN33" s="4"/>
      <c r="AO33" s="4"/>
      <c r="AP33" s="4" t="s">
        <v>184</v>
      </c>
      <c r="AQ33" s="4"/>
      <c r="AR33" s="4"/>
      <c r="AS33" s="4"/>
      <c r="AT33" s="4" t="s">
        <v>185</v>
      </c>
      <c r="AU33" s="4"/>
      <c r="AV33" s="4"/>
      <c r="AW33" s="4"/>
      <c r="AX33" s="4" t="s">
        <v>186</v>
      </c>
      <c r="AY33" s="4"/>
      <c r="AZ33" s="4"/>
      <c r="BA33" s="4"/>
      <c r="BB33" s="4" t="s">
        <v>187</v>
      </c>
      <c r="BC33" s="4"/>
      <c r="BD33" s="4"/>
      <c r="BE33" s="4"/>
      <c r="BF33" s="4" t="s">
        <v>188</v>
      </c>
      <c r="BG33" s="4"/>
      <c r="BH33" s="4"/>
      <c r="BI33" s="4"/>
      <c r="BJ33" s="4" t="s">
        <v>189</v>
      </c>
      <c r="BK33" s="4"/>
      <c r="BL33" s="4"/>
      <c r="BM33" s="4"/>
      <c r="BN33" s="4" t="s">
        <v>190</v>
      </c>
      <c r="BO33" s="4"/>
      <c r="BP33" s="4"/>
      <c r="BQ33" s="4"/>
      <c r="BR33" s="4" t="s">
        <v>191</v>
      </c>
      <c r="BS33" s="4"/>
      <c r="BT33" s="4"/>
      <c r="BU33" s="4"/>
      <c r="BV33" s="4" t="s">
        <v>192</v>
      </c>
      <c r="BW33" s="4"/>
      <c r="BX33" s="4"/>
      <c r="BY33" s="4"/>
    </row>
    <row r="34" spans="1:77" ht="15.6" thickTop="1" thickBot="1" x14ac:dyDescent="0.35">
      <c r="A34" s="56" t="s">
        <v>31</v>
      </c>
      <c r="B34" s="57">
        <v>2016</v>
      </c>
      <c r="C34" s="57">
        <v>224429</v>
      </c>
      <c r="D34" s="57">
        <v>15</v>
      </c>
      <c r="E34" s="14">
        <f>(D34/C34)*100000</f>
        <v>6.6836282298633423</v>
      </c>
      <c r="F34" s="14">
        <f t="shared" ref="F34:F57" si="15">LN(E34)</f>
        <v>1.8996609882801045</v>
      </c>
      <c r="G34" s="58">
        <v>-1.1000000000000001E-3</v>
      </c>
      <c r="H34" s="16">
        <f t="shared" ref="H34" si="16">(EXP(G34)-1)*100</f>
        <v>-0.10993952217723812</v>
      </c>
      <c r="I34" s="17">
        <f>(EXP(-0.23) - 1) * 100</f>
        <v>-20.546639749666596</v>
      </c>
      <c r="J34" s="17">
        <f>(EXP(0.228) - 1) * 100</f>
        <v>25.608532543234407</v>
      </c>
      <c r="K34" s="59">
        <v>0.98960000000000004</v>
      </c>
      <c r="L34" s="57">
        <v>117029</v>
      </c>
      <c r="M34" s="57">
        <v>52</v>
      </c>
      <c r="N34" s="14">
        <f>(M34/L34)*100000</f>
        <v>44.43343102991566</v>
      </c>
      <c r="O34" s="14">
        <f t="shared" ref="O34:O57" si="17">LN(N34)</f>
        <v>3.793992137236919</v>
      </c>
      <c r="P34" s="58">
        <v>4.4600000000000001E-2</v>
      </c>
      <c r="Q34" s="16">
        <f t="shared" ref="Q34" si="18">(EXP(P34)-1)*100</f>
        <v>4.5609532435825662</v>
      </c>
      <c r="R34" s="17">
        <f>(EXP(-0.027) - 1) * 100</f>
        <v>-2.6638758475663216</v>
      </c>
      <c r="S34" s="17">
        <f>(EXP(0.121) - 1) * 100</f>
        <v>12.862491236734396</v>
      </c>
      <c r="T34" s="59">
        <v>0.23150000000000001</v>
      </c>
      <c r="U34" s="60">
        <v>51073</v>
      </c>
      <c r="V34" s="57">
        <v>210</v>
      </c>
      <c r="W34" s="14">
        <f>(V34/U34)*100000</f>
        <v>411.17615961466919</v>
      </c>
      <c r="X34" s="14">
        <f>LN(W34)</f>
        <v>6.0190217348694048</v>
      </c>
      <c r="Y34" s="58">
        <v>4.3400000000000001E-2</v>
      </c>
      <c r="Z34" s="16">
        <f>(EXP(Y34)-1)*100</f>
        <v>4.4355553534720871</v>
      </c>
      <c r="AA34" s="17">
        <f>(EXP(-0.03) - 1) * 100</f>
        <v>-2.9554466451491845</v>
      </c>
      <c r="AB34" s="17">
        <f>(EXP(0.116) - 1) * 100</f>
        <v>12.29958721332547</v>
      </c>
      <c r="AC34" s="59">
        <v>0.1736</v>
      </c>
      <c r="AD34" s="9" t="s">
        <v>27</v>
      </c>
      <c r="AE34" s="9" t="s">
        <v>28</v>
      </c>
      <c r="AF34" s="9" t="s">
        <v>29</v>
      </c>
      <c r="AG34" s="9" t="s">
        <v>30</v>
      </c>
      <c r="AH34" s="9" t="s">
        <v>27</v>
      </c>
      <c r="AI34" s="9" t="s">
        <v>28</v>
      </c>
      <c r="AJ34" s="9" t="s">
        <v>29</v>
      </c>
      <c r="AK34" s="9" t="s">
        <v>30</v>
      </c>
      <c r="AL34" s="10" t="s">
        <v>27</v>
      </c>
      <c r="AM34" s="10" t="s">
        <v>28</v>
      </c>
      <c r="AN34" s="10" t="s">
        <v>29</v>
      </c>
      <c r="AO34" s="10" t="s">
        <v>30</v>
      </c>
      <c r="AP34" s="11" t="s">
        <v>27</v>
      </c>
      <c r="AQ34" s="11" t="s">
        <v>28</v>
      </c>
      <c r="AR34" s="11" t="s">
        <v>29</v>
      </c>
      <c r="AS34" s="11" t="s">
        <v>30</v>
      </c>
      <c r="AT34" s="11" t="s">
        <v>27</v>
      </c>
      <c r="AU34" s="11" t="s">
        <v>28</v>
      </c>
      <c r="AV34" s="11" t="s">
        <v>29</v>
      </c>
      <c r="AW34" s="11" t="s">
        <v>30</v>
      </c>
      <c r="AX34" s="11" t="s">
        <v>27</v>
      </c>
      <c r="AY34" s="11" t="s">
        <v>28</v>
      </c>
      <c r="AZ34" s="9" t="s">
        <v>29</v>
      </c>
      <c r="BA34" s="9" t="s">
        <v>30</v>
      </c>
      <c r="BB34" s="9" t="s">
        <v>27</v>
      </c>
      <c r="BC34" s="9" t="s">
        <v>28</v>
      </c>
      <c r="BD34" s="9" t="s">
        <v>29</v>
      </c>
      <c r="BE34" s="9" t="s">
        <v>30</v>
      </c>
      <c r="BF34" s="9" t="s">
        <v>27</v>
      </c>
      <c r="BG34" s="9" t="s">
        <v>28</v>
      </c>
      <c r="BH34" s="9" t="s">
        <v>29</v>
      </c>
      <c r="BI34" s="9" t="s">
        <v>30</v>
      </c>
      <c r="BJ34" s="9" t="s">
        <v>27</v>
      </c>
      <c r="BK34" s="9" t="s">
        <v>28</v>
      </c>
      <c r="BL34" s="9" t="s">
        <v>29</v>
      </c>
      <c r="BM34" s="9" t="s">
        <v>30</v>
      </c>
      <c r="BN34" s="9" t="s">
        <v>27</v>
      </c>
      <c r="BO34" s="9" t="s">
        <v>28</v>
      </c>
      <c r="BP34" s="9" t="s">
        <v>29</v>
      </c>
      <c r="BQ34" s="9" t="s">
        <v>30</v>
      </c>
      <c r="BR34" s="9" t="s">
        <v>27</v>
      </c>
      <c r="BS34" s="9" t="s">
        <v>28</v>
      </c>
      <c r="BT34" s="9" t="s">
        <v>29</v>
      </c>
      <c r="BU34" s="9" t="s">
        <v>30</v>
      </c>
      <c r="BV34" s="9" t="s">
        <v>27</v>
      </c>
      <c r="BW34" s="9" t="s">
        <v>28</v>
      </c>
      <c r="BX34" s="9" t="s">
        <v>29</v>
      </c>
      <c r="BY34" s="9" t="s">
        <v>30</v>
      </c>
    </row>
    <row r="35" spans="1:77" ht="15.6" thickTop="1" thickBot="1" x14ac:dyDescent="0.35">
      <c r="A35" s="61"/>
      <c r="B35" s="57">
        <v>2017</v>
      </c>
      <c r="C35" s="57">
        <v>236063</v>
      </c>
      <c r="D35" s="57">
        <v>11</v>
      </c>
      <c r="E35" s="14">
        <f t="shared" ref="E35:E57" si="19">(D35/C35)*100000</f>
        <v>4.6597730266920276</v>
      </c>
      <c r="F35" s="14">
        <f t="shared" si="15"/>
        <v>1.5389667402328948</v>
      </c>
      <c r="G35" s="62"/>
      <c r="H35" s="16"/>
      <c r="I35" s="23"/>
      <c r="J35" s="23"/>
      <c r="K35" s="63"/>
      <c r="L35" s="57">
        <v>122305</v>
      </c>
      <c r="M35" s="57">
        <v>64</v>
      </c>
      <c r="N35" s="14">
        <f t="shared" ref="N35:N57" si="20">(M35/L35)*100000</f>
        <v>52.328195903683408</v>
      </c>
      <c r="O35" s="14">
        <f t="shared" si="17"/>
        <v>3.9575353444159194</v>
      </c>
      <c r="P35" s="62"/>
      <c r="Q35" s="16"/>
      <c r="R35" s="23"/>
      <c r="S35" s="23"/>
      <c r="T35" s="63"/>
      <c r="U35" s="60">
        <v>54171</v>
      </c>
      <c r="V35" s="57">
        <v>226</v>
      </c>
      <c r="W35" s="14">
        <f t="shared" ref="W35:W57" si="21">(V35/U35)*100000</f>
        <v>417.19739343929405</v>
      </c>
      <c r="X35" s="14">
        <f t="shared" ref="X35:X57" si="22">LN(W35)</f>
        <v>6.0335594753585244</v>
      </c>
      <c r="Y35" s="62"/>
      <c r="Z35" s="16"/>
      <c r="AA35" s="23"/>
      <c r="AB35" s="23"/>
      <c r="AC35" s="63"/>
      <c r="AD35" s="9" t="s">
        <v>32</v>
      </c>
      <c r="AE35" s="9">
        <v>1</v>
      </c>
      <c r="AF35" s="9">
        <v>0</v>
      </c>
      <c r="AG35" s="9">
        <v>0</v>
      </c>
      <c r="AH35" s="9" t="s">
        <v>32</v>
      </c>
      <c r="AI35" s="9">
        <v>1</v>
      </c>
      <c r="AJ35" s="9">
        <v>3.4799999999999998E-2</v>
      </c>
      <c r="AK35" s="9">
        <v>3.4799999999999998E-2</v>
      </c>
      <c r="AL35" s="10" t="s">
        <v>32</v>
      </c>
      <c r="AM35" s="10">
        <v>1</v>
      </c>
      <c r="AN35" s="10">
        <v>3.3000000000000002E-2</v>
      </c>
      <c r="AO35" s="10">
        <v>3.3000000000000002E-2</v>
      </c>
      <c r="AP35" s="11" t="s">
        <v>32</v>
      </c>
      <c r="AQ35" s="11">
        <v>1</v>
      </c>
      <c r="AR35" s="11">
        <v>15.2943</v>
      </c>
      <c r="AS35" s="11">
        <v>15.2943</v>
      </c>
      <c r="AT35" s="11" t="s">
        <v>32</v>
      </c>
      <c r="AU35" s="11">
        <v>1</v>
      </c>
      <c r="AV35" s="11">
        <v>2.5999999999999999E-2</v>
      </c>
      <c r="AW35" s="11">
        <v>2.5999999999999999E-2</v>
      </c>
      <c r="AX35" s="11" t="s">
        <v>32</v>
      </c>
      <c r="AY35" s="11">
        <v>1</v>
      </c>
      <c r="AZ35" s="9">
        <v>9.3600000000000003E-2</v>
      </c>
      <c r="BA35" s="9">
        <v>9.3600000000000003E-2</v>
      </c>
      <c r="BB35" s="9" t="s">
        <v>32</v>
      </c>
      <c r="BC35" s="9">
        <v>1</v>
      </c>
      <c r="BD35" s="9">
        <v>2E-3</v>
      </c>
      <c r="BE35" s="9">
        <v>2E-3</v>
      </c>
      <c r="BF35" s="9" t="s">
        <v>32</v>
      </c>
      <c r="BG35" s="9">
        <v>1</v>
      </c>
      <c r="BH35" s="9">
        <v>5.0000000000000001E-4</v>
      </c>
      <c r="BI35" s="9">
        <v>5.0000000000000001E-4</v>
      </c>
      <c r="BJ35" s="9" t="s">
        <v>32</v>
      </c>
      <c r="BK35" s="9">
        <v>1</v>
      </c>
      <c r="BL35" s="9">
        <v>1.34E-2</v>
      </c>
      <c r="BM35" s="9">
        <v>1.34E-2</v>
      </c>
      <c r="BN35" s="9" t="s">
        <v>32</v>
      </c>
      <c r="BO35" s="9">
        <v>1</v>
      </c>
      <c r="BP35" s="9">
        <v>1.67E-2</v>
      </c>
      <c r="BQ35" s="9">
        <v>1.67E-2</v>
      </c>
      <c r="BR35" s="9" t="s">
        <v>32</v>
      </c>
      <c r="BS35" s="9">
        <v>1</v>
      </c>
      <c r="BT35" s="9">
        <v>0.19350000000000001</v>
      </c>
      <c r="BU35" s="9">
        <v>0.19350000000000001</v>
      </c>
      <c r="BV35" s="9" t="s">
        <v>32</v>
      </c>
      <c r="BW35" s="9">
        <v>1</v>
      </c>
      <c r="BX35" s="9">
        <v>6.6E-3</v>
      </c>
      <c r="BY35" s="9">
        <v>6.6E-3</v>
      </c>
    </row>
    <row r="36" spans="1:77" ht="15.6" thickTop="1" thickBot="1" x14ac:dyDescent="0.35">
      <c r="A36" s="61"/>
      <c r="B36" s="57">
        <v>2018</v>
      </c>
      <c r="C36" s="57">
        <v>248057</v>
      </c>
      <c r="D36" s="57">
        <v>13</v>
      </c>
      <c r="E36" s="14">
        <f t="shared" si="19"/>
        <v>5.2407309610291186</v>
      </c>
      <c r="F36" s="14">
        <f t="shared" si="15"/>
        <v>1.6564609849838383</v>
      </c>
      <c r="G36" s="62"/>
      <c r="H36" s="16"/>
      <c r="I36" s="23"/>
      <c r="J36" s="23"/>
      <c r="K36" s="63"/>
      <c r="L36" s="57">
        <v>127988</v>
      </c>
      <c r="M36" s="57">
        <v>57</v>
      </c>
      <c r="N36" s="14">
        <f t="shared" si="20"/>
        <v>44.535425196112136</v>
      </c>
      <c r="O36" s="14">
        <f t="shared" si="17"/>
        <v>3.7962849442978301</v>
      </c>
      <c r="P36" s="62"/>
      <c r="Q36" s="16"/>
      <c r="R36" s="23"/>
      <c r="S36" s="23"/>
      <c r="T36" s="63"/>
      <c r="U36" s="60">
        <v>57430</v>
      </c>
      <c r="V36" s="57">
        <v>246</v>
      </c>
      <c r="W36" s="14">
        <f t="shared" si="21"/>
        <v>428.34755354344418</v>
      </c>
      <c r="X36" s="14">
        <f t="shared" si="22"/>
        <v>6.0599349070442488</v>
      </c>
      <c r="Y36" s="62"/>
      <c r="Z36" s="16"/>
      <c r="AA36" s="23"/>
      <c r="AB36" s="23"/>
      <c r="AC36" s="63"/>
      <c r="AD36" s="9" t="s">
        <v>37</v>
      </c>
      <c r="AE36" s="9">
        <v>4</v>
      </c>
      <c r="AF36" s="9">
        <v>0.4773</v>
      </c>
      <c r="AG36" s="9">
        <v>0.1193</v>
      </c>
      <c r="AH36" s="9" t="s">
        <v>37</v>
      </c>
      <c r="AI36" s="9">
        <v>4</v>
      </c>
      <c r="AJ36" s="9">
        <v>7.0000000000000007E-2</v>
      </c>
      <c r="AK36" s="9">
        <v>1.7500000000000002E-2</v>
      </c>
      <c r="AL36" s="10" t="s">
        <v>37</v>
      </c>
      <c r="AM36" s="10">
        <v>4</v>
      </c>
      <c r="AN36" s="10">
        <v>4.8300000000000003E-2</v>
      </c>
      <c r="AO36" s="10">
        <v>1.21E-2</v>
      </c>
      <c r="AP36" s="11" t="s">
        <v>37</v>
      </c>
      <c r="AQ36" s="11">
        <v>4</v>
      </c>
      <c r="AR36" s="11">
        <v>15.5229</v>
      </c>
      <c r="AS36" s="11">
        <v>3.8807</v>
      </c>
      <c r="AT36" s="11" t="s">
        <v>37</v>
      </c>
      <c r="AU36" s="11">
        <v>4</v>
      </c>
      <c r="AV36" s="11">
        <v>0.44219999999999998</v>
      </c>
      <c r="AW36" s="11">
        <v>0.1106</v>
      </c>
      <c r="AX36" s="11" t="s">
        <v>37</v>
      </c>
      <c r="AY36" s="11">
        <v>4</v>
      </c>
      <c r="AZ36" s="9">
        <v>1.29E-2</v>
      </c>
      <c r="BA36" s="9">
        <v>3.2000000000000002E-3</v>
      </c>
      <c r="BB36" s="9" t="s">
        <v>37</v>
      </c>
      <c r="BC36" s="9">
        <v>4</v>
      </c>
      <c r="BD36" s="9">
        <v>0.84909999999999997</v>
      </c>
      <c r="BE36" s="9">
        <v>0.21229999999999999</v>
      </c>
      <c r="BF36" s="9" t="s">
        <v>37</v>
      </c>
      <c r="BG36" s="9">
        <v>4</v>
      </c>
      <c r="BH36" s="9">
        <v>9.1899999999999996E-2</v>
      </c>
      <c r="BI36" s="9">
        <v>2.3E-2</v>
      </c>
      <c r="BJ36" s="9" t="s">
        <v>37</v>
      </c>
      <c r="BK36" s="9">
        <v>4</v>
      </c>
      <c r="BL36" s="9">
        <v>2.3900000000000001E-2</v>
      </c>
      <c r="BM36" s="9">
        <v>6.0000000000000001E-3</v>
      </c>
      <c r="BN36" s="9" t="s">
        <v>37</v>
      </c>
      <c r="BO36" s="9">
        <v>4</v>
      </c>
      <c r="BP36" s="9">
        <v>1.0430999999999999</v>
      </c>
      <c r="BQ36" s="9">
        <v>0.26079999999999998</v>
      </c>
      <c r="BR36" s="9" t="s">
        <v>37</v>
      </c>
      <c r="BS36" s="9">
        <v>4</v>
      </c>
      <c r="BT36" s="9">
        <v>5.9499999999999997E-2</v>
      </c>
      <c r="BU36" s="9">
        <v>1.49E-2</v>
      </c>
      <c r="BV36" s="9" t="s">
        <v>37</v>
      </c>
      <c r="BW36" s="9">
        <v>4</v>
      </c>
      <c r="BX36" s="9">
        <v>0.1129</v>
      </c>
      <c r="BY36" s="9">
        <v>2.8199999999999999E-2</v>
      </c>
    </row>
    <row r="37" spans="1:77" ht="15.6" thickTop="1" thickBot="1" x14ac:dyDescent="0.35">
      <c r="A37" s="61"/>
      <c r="B37" s="57">
        <v>2019</v>
      </c>
      <c r="C37" s="57">
        <v>260315</v>
      </c>
      <c r="D37" s="57">
        <v>8</v>
      </c>
      <c r="E37" s="14">
        <f t="shared" si="19"/>
        <v>3.0731997771930164</v>
      </c>
      <c r="F37" s="14">
        <f t="shared" si="15"/>
        <v>1.1227192915113455</v>
      </c>
      <c r="G37" s="62"/>
      <c r="H37" s="16"/>
      <c r="I37" s="23"/>
      <c r="J37" s="23"/>
      <c r="K37" s="63"/>
      <c r="L37" s="57">
        <v>134156</v>
      </c>
      <c r="M37" s="57">
        <v>78</v>
      </c>
      <c r="N37" s="14">
        <f t="shared" si="20"/>
        <v>58.141268374131606</v>
      </c>
      <c r="O37" s="14">
        <f t="shared" si="17"/>
        <v>4.0628757107533042</v>
      </c>
      <c r="P37" s="62"/>
      <c r="Q37" s="16"/>
      <c r="R37" s="23"/>
      <c r="S37" s="23"/>
      <c r="T37" s="63"/>
      <c r="U37" s="60">
        <v>60723</v>
      </c>
      <c r="V37" s="57">
        <v>332</v>
      </c>
      <c r="W37" s="14">
        <f t="shared" si="21"/>
        <v>546.74505541557562</v>
      </c>
      <c r="X37" s="14">
        <f t="shared" si="22"/>
        <v>6.3039826159230721</v>
      </c>
      <c r="Y37" s="62"/>
      <c r="Z37" s="16"/>
      <c r="AA37" s="23"/>
      <c r="AB37" s="23"/>
      <c r="AC37" s="63"/>
      <c r="AD37" s="9" t="s">
        <v>46</v>
      </c>
      <c r="AE37" s="9">
        <v>5</v>
      </c>
      <c r="AF37" s="9">
        <v>0.4773</v>
      </c>
      <c r="AG37" s="9" t="s">
        <v>47</v>
      </c>
      <c r="AH37" s="9" t="s">
        <v>46</v>
      </c>
      <c r="AI37" s="9">
        <v>5</v>
      </c>
      <c r="AJ37" s="9">
        <v>0.1048</v>
      </c>
      <c r="AK37" s="9" t="s">
        <v>47</v>
      </c>
      <c r="AL37" s="10" t="s">
        <v>46</v>
      </c>
      <c r="AM37" s="10">
        <v>5</v>
      </c>
      <c r="AN37" s="10">
        <v>8.1299999999999997E-2</v>
      </c>
      <c r="AO37" s="10" t="s">
        <v>47</v>
      </c>
      <c r="AP37" s="11" t="s">
        <v>46</v>
      </c>
      <c r="AQ37" s="11">
        <v>5</v>
      </c>
      <c r="AR37" s="11">
        <v>30.8171</v>
      </c>
      <c r="AS37" s="11" t="s">
        <v>47</v>
      </c>
      <c r="AT37" s="11" t="s">
        <v>46</v>
      </c>
      <c r="AU37" s="11">
        <v>5</v>
      </c>
      <c r="AV37" s="11">
        <v>0.46829999999999999</v>
      </c>
      <c r="AW37" s="11" t="s">
        <v>47</v>
      </c>
      <c r="AX37" s="11" t="s">
        <v>46</v>
      </c>
      <c r="AY37" s="11">
        <v>5</v>
      </c>
      <c r="AZ37" s="9">
        <v>0.1065</v>
      </c>
      <c r="BA37" s="9" t="s">
        <v>47</v>
      </c>
      <c r="BB37" s="9" t="s">
        <v>46</v>
      </c>
      <c r="BC37" s="9">
        <v>5</v>
      </c>
      <c r="BD37" s="9">
        <v>0.85109999999999997</v>
      </c>
      <c r="BE37" s="9" t="s">
        <v>47</v>
      </c>
      <c r="BF37" s="9" t="s">
        <v>46</v>
      </c>
      <c r="BG37" s="9">
        <v>5</v>
      </c>
      <c r="BH37" s="9">
        <v>9.2399999999999996E-2</v>
      </c>
      <c r="BI37" s="9" t="s">
        <v>47</v>
      </c>
      <c r="BJ37" s="9" t="s">
        <v>46</v>
      </c>
      <c r="BK37" s="9">
        <v>5</v>
      </c>
      <c r="BL37" s="9">
        <v>3.7400000000000003E-2</v>
      </c>
      <c r="BM37" s="9" t="s">
        <v>47</v>
      </c>
      <c r="BN37" s="9" t="s">
        <v>46</v>
      </c>
      <c r="BO37" s="9">
        <v>5</v>
      </c>
      <c r="BP37" s="9">
        <v>1.0597000000000001</v>
      </c>
      <c r="BQ37" s="9" t="s">
        <v>47</v>
      </c>
      <c r="BR37" s="9" t="s">
        <v>46</v>
      </c>
      <c r="BS37" s="9">
        <v>5</v>
      </c>
      <c r="BT37" s="9">
        <v>0.253</v>
      </c>
      <c r="BU37" s="9" t="s">
        <v>47</v>
      </c>
      <c r="BV37" s="9" t="s">
        <v>46</v>
      </c>
      <c r="BW37" s="9">
        <v>5</v>
      </c>
      <c r="BX37" s="9">
        <v>0.1195</v>
      </c>
      <c r="BY37" s="9" t="s">
        <v>47</v>
      </c>
    </row>
    <row r="38" spans="1:77" ht="15.6" thickTop="1" thickBot="1" x14ac:dyDescent="0.35">
      <c r="A38" s="61"/>
      <c r="B38" s="57">
        <v>2020</v>
      </c>
      <c r="C38" s="57">
        <v>272477</v>
      </c>
      <c r="D38" s="57">
        <v>20</v>
      </c>
      <c r="E38" s="14">
        <f t="shared" si="19"/>
        <v>7.3400690700499487</v>
      </c>
      <c r="F38" s="14">
        <f t="shared" si="15"/>
        <v>1.9933482526706985</v>
      </c>
      <c r="G38" s="62"/>
      <c r="H38" s="16"/>
      <c r="I38" s="23"/>
      <c r="J38" s="23"/>
      <c r="K38" s="63"/>
      <c r="L38" s="57">
        <v>140701</v>
      </c>
      <c r="M38" s="57">
        <v>90</v>
      </c>
      <c r="N38" s="14">
        <f t="shared" si="20"/>
        <v>63.965430238591047</v>
      </c>
      <c r="O38" s="14">
        <f t="shared" si="17"/>
        <v>4.1583427849027297</v>
      </c>
      <c r="P38" s="62"/>
      <c r="Q38" s="16"/>
      <c r="R38" s="23"/>
      <c r="S38" s="23"/>
      <c r="T38" s="63"/>
      <c r="U38" s="60">
        <v>63761</v>
      </c>
      <c r="V38" s="57">
        <v>345</v>
      </c>
      <c r="W38" s="14">
        <f t="shared" si="21"/>
        <v>541.08310722855663</v>
      </c>
      <c r="X38" s="14">
        <f t="shared" si="22"/>
        <v>6.2935728848461778</v>
      </c>
      <c r="Y38" s="62"/>
      <c r="Z38" s="16"/>
      <c r="AA38" s="23"/>
      <c r="AB38" s="23"/>
      <c r="AC38" s="63"/>
      <c r="AD38" s="9"/>
      <c r="AE38" s="9"/>
      <c r="AF38" s="9"/>
      <c r="AG38" s="9"/>
      <c r="AH38" s="9"/>
      <c r="AI38" s="9"/>
      <c r="AJ38" s="9"/>
      <c r="AK38" s="9"/>
      <c r="AL38" s="10"/>
      <c r="AM38" s="10"/>
      <c r="AN38" s="10"/>
      <c r="AO38" s="10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</row>
    <row r="39" spans="1:77" ht="15.6" thickTop="1" thickBot="1" x14ac:dyDescent="0.35">
      <c r="A39" s="64"/>
      <c r="B39" s="57">
        <v>2021</v>
      </c>
      <c r="C39" s="57">
        <v>284011</v>
      </c>
      <c r="D39" s="57">
        <v>16</v>
      </c>
      <c r="E39" s="14">
        <f t="shared" si="19"/>
        <v>5.6335846146804176</v>
      </c>
      <c r="F39" s="14">
        <f t="shared" si="15"/>
        <v>1.7287459384223802</v>
      </c>
      <c r="G39" s="65"/>
      <c r="H39" s="16"/>
      <c r="I39" s="28"/>
      <c r="J39" s="28"/>
      <c r="K39" s="66"/>
      <c r="L39" s="57">
        <v>147270</v>
      </c>
      <c r="M39" s="57">
        <v>75</v>
      </c>
      <c r="N39" s="14">
        <f t="shared" si="20"/>
        <v>50.926869016092894</v>
      </c>
      <c r="O39" s="14">
        <f t="shared" si="17"/>
        <v>3.9303906627863312</v>
      </c>
      <c r="P39" s="65"/>
      <c r="Q39" s="16"/>
      <c r="R39" s="28"/>
      <c r="S39" s="28"/>
      <c r="T39" s="66"/>
      <c r="U39" s="60">
        <v>66132</v>
      </c>
      <c r="V39" s="57">
        <v>301</v>
      </c>
      <c r="W39" s="14">
        <f t="shared" si="21"/>
        <v>455.15030544970665</v>
      </c>
      <c r="X39" s="14">
        <f t="shared" si="22"/>
        <v>6.1206277060478689</v>
      </c>
      <c r="Y39" s="65"/>
      <c r="Z39" s="16"/>
      <c r="AA39" s="28"/>
      <c r="AB39" s="28"/>
      <c r="AC39" s="66"/>
      <c r="AD39" s="9" t="s">
        <v>52</v>
      </c>
      <c r="AE39" s="9">
        <v>2.0000000000000001E-4</v>
      </c>
      <c r="AF39" s="9" t="s">
        <v>193</v>
      </c>
      <c r="AG39" s="9"/>
      <c r="AH39" s="9" t="s">
        <v>52</v>
      </c>
      <c r="AI39" s="9">
        <v>1.9856</v>
      </c>
      <c r="AJ39" s="9" t="s">
        <v>194</v>
      </c>
      <c r="AK39" s="9"/>
      <c r="AL39" s="10" t="s">
        <v>52</v>
      </c>
      <c r="AM39" s="10">
        <v>2.7317999999999998</v>
      </c>
      <c r="AN39" s="10" t="s">
        <v>195</v>
      </c>
      <c r="AO39" s="10"/>
      <c r="AP39" s="11" t="s">
        <v>52</v>
      </c>
      <c r="AQ39" s="11">
        <v>3.9411</v>
      </c>
      <c r="AR39" s="11" t="s">
        <v>196</v>
      </c>
      <c r="AS39" s="11"/>
      <c r="AT39" s="11" t="s">
        <v>52</v>
      </c>
      <c r="AU39" s="11">
        <v>0.23549999999999999</v>
      </c>
      <c r="AV39" s="11" t="s">
        <v>197</v>
      </c>
      <c r="AW39" s="11"/>
      <c r="AX39" s="11" t="s">
        <v>52</v>
      </c>
      <c r="AY39" s="11">
        <v>29.006799999999998</v>
      </c>
      <c r="AZ39" s="9" t="s">
        <v>198</v>
      </c>
      <c r="BA39" s="9"/>
      <c r="BB39" s="9" t="s">
        <v>52</v>
      </c>
      <c r="BC39" s="9">
        <v>9.1999999999999998E-3</v>
      </c>
      <c r="BD39" s="9" t="s">
        <v>199</v>
      </c>
      <c r="BE39" s="9"/>
      <c r="BF39" s="9" t="s">
        <v>52</v>
      </c>
      <c r="BG39" s="9">
        <v>2.01E-2</v>
      </c>
      <c r="BH39" s="9" t="s">
        <v>200</v>
      </c>
      <c r="BI39" s="9"/>
      <c r="BJ39" s="9" t="s">
        <v>52</v>
      </c>
      <c r="BK39" s="9">
        <v>2.2488000000000001</v>
      </c>
      <c r="BL39" s="9" t="s">
        <v>201</v>
      </c>
      <c r="BM39" s="9"/>
      <c r="BN39" s="9" t="s">
        <v>52</v>
      </c>
      <c r="BO39" s="9">
        <v>6.3899999999999998E-2</v>
      </c>
      <c r="BP39" s="9" t="s">
        <v>202</v>
      </c>
      <c r="BQ39" s="9"/>
      <c r="BR39" s="9" t="s">
        <v>52</v>
      </c>
      <c r="BS39" s="9">
        <v>12.9978</v>
      </c>
      <c r="BT39" s="9" t="s">
        <v>203</v>
      </c>
      <c r="BU39" s="9"/>
      <c r="BV39" s="9" t="s">
        <v>52</v>
      </c>
      <c r="BW39" s="9">
        <v>0.23400000000000001</v>
      </c>
      <c r="BX39" s="9" t="s">
        <v>204</v>
      </c>
      <c r="BY39" s="9"/>
    </row>
    <row r="40" spans="1:77" ht="15.6" thickTop="1" thickBot="1" x14ac:dyDescent="0.35">
      <c r="A40" s="67" t="s">
        <v>73</v>
      </c>
      <c r="B40" s="68">
        <v>2016</v>
      </c>
      <c r="C40" s="68">
        <v>94619</v>
      </c>
      <c r="D40" s="68">
        <v>0.01</v>
      </c>
      <c r="E40" s="14">
        <f t="shared" si="19"/>
        <v>1.0568701846352212E-2</v>
      </c>
      <c r="F40" s="14">
        <f t="shared" si="15"/>
        <v>-4.5498583015570038</v>
      </c>
      <c r="G40" s="58">
        <v>0.93489999999999995</v>
      </c>
      <c r="H40" s="16">
        <f t="shared" ref="H40:H52" si="23">(EXP(G40)-1)*100</f>
        <v>154.69587491288763</v>
      </c>
      <c r="I40" s="17">
        <f>(EXP(-0.327) - 1) * 100</f>
        <v>-27.891625697339293</v>
      </c>
      <c r="J40" s="17">
        <f>(EXP(2.242) - 1) * 100</f>
        <v>841.21367492109493</v>
      </c>
      <c r="K40" s="69">
        <v>0.11799999999999999</v>
      </c>
      <c r="L40" s="68">
        <v>45998</v>
      </c>
      <c r="M40" s="68">
        <v>23</v>
      </c>
      <c r="N40" s="14">
        <f t="shared" si="20"/>
        <v>50.00217400756555</v>
      </c>
      <c r="O40" s="14">
        <f t="shared" si="17"/>
        <v>3.9120664846342228</v>
      </c>
      <c r="P40" s="58">
        <v>-3.8600000000000002E-2</v>
      </c>
      <c r="Q40" s="16">
        <f t="shared" ref="Q40:Q52" si="24">(EXP(P40)-1)*100</f>
        <v>-3.7864513619658258</v>
      </c>
      <c r="R40" s="17">
        <f>(EXP(-0.259) - 1) * 100</f>
        <v>-22.817697695629658</v>
      </c>
      <c r="S40" s="17">
        <f>(EXP(0.182) - 1) * 100</f>
        <v>19.961419387986833</v>
      </c>
      <c r="T40" s="69">
        <v>0.65290000000000004</v>
      </c>
      <c r="U40" s="70">
        <v>18861</v>
      </c>
      <c r="V40" s="68">
        <v>64</v>
      </c>
      <c r="W40" s="14">
        <f t="shared" si="21"/>
        <v>339.32453210328191</v>
      </c>
      <c r="X40" s="14">
        <f t="shared" si="22"/>
        <v>5.8269569712787295</v>
      </c>
      <c r="Y40" s="58">
        <v>7.3099999999999998E-2</v>
      </c>
      <c r="Z40" s="16">
        <f t="shared" ref="Z40" si="25">(EXP(Y40)-1)*100</f>
        <v>7.5838115347226953</v>
      </c>
      <c r="AA40" s="17">
        <f>(EXP(0.035) - 1) * 100</f>
        <v>3.5619708799623284</v>
      </c>
      <c r="AB40" s="17">
        <f>(EXP(0.111) - 1) * 100</f>
        <v>11.739490685445819</v>
      </c>
      <c r="AC40" s="69">
        <v>5.7000000000000002E-3</v>
      </c>
      <c r="AD40" s="9" t="s">
        <v>69</v>
      </c>
      <c r="AE40" s="9" t="s">
        <v>70</v>
      </c>
      <c r="AF40" s="9"/>
      <c r="AG40" s="9"/>
      <c r="AH40" s="9" t="s">
        <v>69</v>
      </c>
      <c r="AI40" s="9" t="s">
        <v>70</v>
      </c>
      <c r="AJ40" s="9"/>
      <c r="AK40" s="9"/>
      <c r="AL40" s="10" t="s">
        <v>69</v>
      </c>
      <c r="AM40" s="10" t="s">
        <v>70</v>
      </c>
      <c r="AN40" s="10"/>
      <c r="AO40" s="10"/>
      <c r="AP40" s="11" t="s">
        <v>69</v>
      </c>
      <c r="AQ40" s="11" t="s">
        <v>70</v>
      </c>
      <c r="AR40" s="11"/>
      <c r="AS40" s="11"/>
      <c r="AT40" s="11" t="s">
        <v>69</v>
      </c>
      <c r="AU40" s="11" t="s">
        <v>70</v>
      </c>
      <c r="AV40" s="11"/>
      <c r="AW40" s="11"/>
      <c r="AX40" s="11" t="s">
        <v>69</v>
      </c>
      <c r="AY40" s="11" t="s">
        <v>70</v>
      </c>
      <c r="AZ40" s="9"/>
      <c r="BA40" s="9"/>
      <c r="BB40" s="9" t="s">
        <v>69</v>
      </c>
      <c r="BC40" s="9" t="s">
        <v>70</v>
      </c>
      <c r="BD40" s="9"/>
      <c r="BE40" s="9"/>
      <c r="BF40" s="9" t="s">
        <v>69</v>
      </c>
      <c r="BG40" s="9" t="s">
        <v>70</v>
      </c>
      <c r="BH40" s="9"/>
      <c r="BI40" s="9"/>
      <c r="BJ40" s="9" t="s">
        <v>69</v>
      </c>
      <c r="BK40" s="9" t="s">
        <v>70</v>
      </c>
      <c r="BL40" s="9"/>
      <c r="BM40" s="9"/>
      <c r="BN40" s="9" t="s">
        <v>69</v>
      </c>
      <c r="BO40" s="9" t="s">
        <v>70</v>
      </c>
      <c r="BP40" s="9"/>
      <c r="BQ40" s="9"/>
      <c r="BR40" s="9" t="s">
        <v>69</v>
      </c>
      <c r="BS40" s="9" t="s">
        <v>70</v>
      </c>
      <c r="BT40" s="9"/>
      <c r="BU40" s="9"/>
      <c r="BV40" s="9" t="s">
        <v>69</v>
      </c>
      <c r="BW40" s="9" t="s">
        <v>70</v>
      </c>
      <c r="BX40" s="9"/>
      <c r="BY40" s="9"/>
    </row>
    <row r="41" spans="1:77" ht="15.6" thickTop="1" thickBot="1" x14ac:dyDescent="0.35">
      <c r="A41" s="71"/>
      <c r="B41" s="68">
        <v>2017</v>
      </c>
      <c r="C41" s="68">
        <v>100111</v>
      </c>
      <c r="D41" s="68">
        <v>3</v>
      </c>
      <c r="E41" s="14">
        <f t="shared" si="19"/>
        <v>2.9966736922016559</v>
      </c>
      <c r="F41" s="14">
        <f t="shared" si="15"/>
        <v>1.0975029042626119</v>
      </c>
      <c r="G41" s="62"/>
      <c r="H41" s="16"/>
      <c r="I41" s="23"/>
      <c r="J41" s="23"/>
      <c r="K41" s="72"/>
      <c r="L41" s="68">
        <v>48282</v>
      </c>
      <c r="M41" s="68">
        <v>30</v>
      </c>
      <c r="N41" s="14">
        <f t="shared" si="20"/>
        <v>62.134957126879584</v>
      </c>
      <c r="O41" s="14">
        <f t="shared" si="17"/>
        <v>4.1293087472581957</v>
      </c>
      <c r="P41" s="62"/>
      <c r="Q41" s="16"/>
      <c r="R41" s="23"/>
      <c r="S41" s="23"/>
      <c r="T41" s="72"/>
      <c r="U41" s="70">
        <v>20052</v>
      </c>
      <c r="V41" s="68">
        <v>68</v>
      </c>
      <c r="W41" s="14">
        <f t="shared" si="21"/>
        <v>339.1182924396569</v>
      </c>
      <c r="X41" s="14">
        <f t="shared" si="22"/>
        <v>5.8263489917629414</v>
      </c>
      <c r="Y41" s="62"/>
      <c r="Z41" s="16"/>
      <c r="AA41" s="23"/>
      <c r="AB41" s="23"/>
      <c r="AC41" s="72"/>
      <c r="AD41" s="9" t="s">
        <v>74</v>
      </c>
      <c r="AE41" s="9" t="s">
        <v>75</v>
      </c>
      <c r="AF41" s="9"/>
      <c r="AG41" s="9"/>
      <c r="AH41" s="9" t="s">
        <v>74</v>
      </c>
      <c r="AI41" s="9" t="s">
        <v>75</v>
      </c>
      <c r="AJ41" s="9"/>
      <c r="AK41" s="9"/>
      <c r="AL41" s="10" t="s">
        <v>74</v>
      </c>
      <c r="AM41" s="10" t="s">
        <v>75</v>
      </c>
      <c r="AN41" s="10"/>
      <c r="AO41" s="10"/>
      <c r="AP41" s="11" t="s">
        <v>74</v>
      </c>
      <c r="AQ41" s="11" t="s">
        <v>75</v>
      </c>
      <c r="AR41" s="11"/>
      <c r="AS41" s="11"/>
      <c r="AT41" s="11" t="s">
        <v>74</v>
      </c>
      <c r="AU41" s="11" t="s">
        <v>75</v>
      </c>
      <c r="AV41" s="11"/>
      <c r="AW41" s="11"/>
      <c r="AX41" s="11" t="s">
        <v>74</v>
      </c>
      <c r="AY41" s="11" t="s">
        <v>75</v>
      </c>
      <c r="AZ41" s="9"/>
      <c r="BA41" s="9"/>
      <c r="BB41" s="9" t="s">
        <v>74</v>
      </c>
      <c r="BC41" s="9" t="s">
        <v>75</v>
      </c>
      <c r="BD41" s="9"/>
      <c r="BE41" s="9"/>
      <c r="BF41" s="9" t="s">
        <v>74</v>
      </c>
      <c r="BG41" s="9" t="s">
        <v>75</v>
      </c>
      <c r="BH41" s="9"/>
      <c r="BI41" s="9"/>
      <c r="BJ41" s="9" t="s">
        <v>74</v>
      </c>
      <c r="BK41" s="9" t="s">
        <v>75</v>
      </c>
      <c r="BL41" s="9"/>
      <c r="BM41" s="9"/>
      <c r="BN41" s="9" t="s">
        <v>74</v>
      </c>
      <c r="BO41" s="9" t="s">
        <v>75</v>
      </c>
      <c r="BP41" s="9"/>
      <c r="BQ41" s="9"/>
      <c r="BR41" s="9" t="s">
        <v>74</v>
      </c>
      <c r="BS41" s="9" t="s">
        <v>75</v>
      </c>
      <c r="BT41" s="9"/>
      <c r="BU41" s="9"/>
      <c r="BV41" s="9" t="s">
        <v>74</v>
      </c>
      <c r="BW41" s="9" t="s">
        <v>75</v>
      </c>
      <c r="BX41" s="9"/>
      <c r="BY41" s="9"/>
    </row>
    <row r="42" spans="1:77" ht="15.6" thickTop="1" thickBot="1" x14ac:dyDescent="0.35">
      <c r="A42" s="71"/>
      <c r="B42" s="68">
        <v>2018</v>
      </c>
      <c r="C42" s="68">
        <v>105787</v>
      </c>
      <c r="D42" s="68">
        <v>5</v>
      </c>
      <c r="E42" s="14">
        <f t="shared" si="19"/>
        <v>4.7264786788546793</v>
      </c>
      <c r="F42" s="14">
        <f t="shared" si="15"/>
        <v>1.5531804598934764</v>
      </c>
      <c r="G42" s="62"/>
      <c r="H42" s="16"/>
      <c r="I42" s="23"/>
      <c r="J42" s="23"/>
      <c r="K42" s="72"/>
      <c r="L42" s="68">
        <v>50765</v>
      </c>
      <c r="M42" s="68">
        <v>24</v>
      </c>
      <c r="N42" s="14">
        <f t="shared" si="20"/>
        <v>47.27666699497685</v>
      </c>
      <c r="O42" s="14">
        <f t="shared" si="17"/>
        <v>3.856016875582851</v>
      </c>
      <c r="P42" s="62"/>
      <c r="Q42" s="16"/>
      <c r="R42" s="23"/>
      <c r="S42" s="23"/>
      <c r="T42" s="72"/>
      <c r="U42" s="70">
        <v>21311</v>
      </c>
      <c r="V42" s="68">
        <v>81</v>
      </c>
      <c r="W42" s="14">
        <f t="shared" si="21"/>
        <v>380.08540190511945</v>
      </c>
      <c r="X42" s="14">
        <f t="shared" si="22"/>
        <v>5.9403959693253414</v>
      </c>
      <c r="Y42" s="62"/>
      <c r="Z42" s="16"/>
      <c r="AA42" s="23"/>
      <c r="AB42" s="23"/>
      <c r="AC42" s="72"/>
      <c r="AD42" s="9" t="s">
        <v>76</v>
      </c>
      <c r="AE42" s="9">
        <v>3.5</v>
      </c>
      <c r="AF42" s="9"/>
      <c r="AG42" s="9"/>
      <c r="AH42" s="9" t="s">
        <v>76</v>
      </c>
      <c r="AI42" s="9">
        <v>3.5</v>
      </c>
      <c r="AJ42" s="9"/>
      <c r="AK42" s="9"/>
      <c r="AL42" s="10" t="s">
        <v>76</v>
      </c>
      <c r="AM42" s="10">
        <v>3.5</v>
      </c>
      <c r="AN42" s="10"/>
      <c r="AO42" s="10"/>
      <c r="AP42" s="11" t="s">
        <v>76</v>
      </c>
      <c r="AQ42" s="11">
        <v>3.5</v>
      </c>
      <c r="AR42" s="11"/>
      <c r="AS42" s="11"/>
      <c r="AT42" s="11" t="s">
        <v>76</v>
      </c>
      <c r="AU42" s="11">
        <v>3.5</v>
      </c>
      <c r="AV42" s="11"/>
      <c r="AW42" s="11"/>
      <c r="AX42" s="11" t="s">
        <v>76</v>
      </c>
      <c r="AY42" s="11">
        <v>3.5</v>
      </c>
      <c r="AZ42" s="9"/>
      <c r="BA42" s="9"/>
      <c r="BB42" s="9" t="s">
        <v>76</v>
      </c>
      <c r="BC42" s="9">
        <v>3.5</v>
      </c>
      <c r="BD42" s="9"/>
      <c r="BE42" s="9"/>
      <c r="BF42" s="9" t="s">
        <v>76</v>
      </c>
      <c r="BG42" s="9">
        <v>3.5</v>
      </c>
      <c r="BH42" s="9"/>
      <c r="BI42" s="9"/>
      <c r="BJ42" s="9" t="s">
        <v>76</v>
      </c>
      <c r="BK42" s="9">
        <v>3.5</v>
      </c>
      <c r="BL42" s="9"/>
      <c r="BM42" s="9"/>
      <c r="BN42" s="9" t="s">
        <v>76</v>
      </c>
      <c r="BO42" s="9">
        <v>3.5</v>
      </c>
      <c r="BP42" s="9"/>
      <c r="BQ42" s="9"/>
      <c r="BR42" s="9" t="s">
        <v>76</v>
      </c>
      <c r="BS42" s="9">
        <v>3.5</v>
      </c>
      <c r="BT42" s="9"/>
      <c r="BU42" s="9"/>
      <c r="BV42" s="9" t="s">
        <v>76</v>
      </c>
      <c r="BW42" s="9">
        <v>3.5</v>
      </c>
      <c r="BX42" s="9"/>
      <c r="BY42" s="9"/>
    </row>
    <row r="43" spans="1:77" ht="15.6" thickTop="1" thickBot="1" x14ac:dyDescent="0.35">
      <c r="A43" s="71"/>
      <c r="B43" s="68">
        <v>2019</v>
      </c>
      <c r="C43" s="68">
        <v>111628</v>
      </c>
      <c r="D43" s="68">
        <v>5</v>
      </c>
      <c r="E43" s="14">
        <f t="shared" si="19"/>
        <v>4.4791629340308878</v>
      </c>
      <c r="F43" s="14">
        <f t="shared" si="15"/>
        <v>1.4994361838867856</v>
      </c>
      <c r="G43" s="62"/>
      <c r="H43" s="16"/>
      <c r="I43" s="23"/>
      <c r="J43" s="23"/>
      <c r="K43" s="72"/>
      <c r="L43" s="68">
        <v>53539</v>
      </c>
      <c r="M43" s="68">
        <v>35</v>
      </c>
      <c r="N43" s="14">
        <f t="shared" si="20"/>
        <v>65.372905732269942</v>
      </c>
      <c r="O43" s="14">
        <f t="shared" si="17"/>
        <v>4.1801078871839339</v>
      </c>
      <c r="P43" s="62"/>
      <c r="Q43" s="16"/>
      <c r="R43" s="23"/>
      <c r="S43" s="23"/>
      <c r="T43" s="72"/>
      <c r="U43" s="70">
        <v>22650</v>
      </c>
      <c r="V43" s="68">
        <v>91</v>
      </c>
      <c r="W43" s="14">
        <f t="shared" si="21"/>
        <v>401.76600441501108</v>
      </c>
      <c r="X43" s="14">
        <f t="shared" si="22"/>
        <v>5.9958698405758986</v>
      </c>
      <c r="Y43" s="62"/>
      <c r="Z43" s="16"/>
      <c r="AA43" s="23"/>
      <c r="AB43" s="23"/>
      <c r="AC43" s="72"/>
      <c r="AD43" s="9" t="s">
        <v>78</v>
      </c>
      <c r="AE43" s="9">
        <v>1.6567000000000001</v>
      </c>
      <c r="AF43" s="9"/>
      <c r="AG43" s="9"/>
      <c r="AH43" s="9" t="s">
        <v>78</v>
      </c>
      <c r="AI43" s="9">
        <v>3.95</v>
      </c>
      <c r="AJ43" s="9"/>
      <c r="AK43" s="9"/>
      <c r="AL43" s="10" t="s">
        <v>78</v>
      </c>
      <c r="AM43" s="10">
        <v>6.1367000000000003</v>
      </c>
      <c r="AN43" s="10"/>
      <c r="AO43" s="10"/>
      <c r="AP43" s="11" t="s">
        <v>78</v>
      </c>
      <c r="AQ43" s="11">
        <v>0.49669999999999997</v>
      </c>
      <c r="AR43" s="11"/>
      <c r="AS43" s="11"/>
      <c r="AT43" s="11" t="s">
        <v>78</v>
      </c>
      <c r="AU43" s="11">
        <v>3.9117000000000002</v>
      </c>
      <c r="AV43" s="11"/>
      <c r="AW43" s="11"/>
      <c r="AX43" s="11" t="s">
        <v>78</v>
      </c>
      <c r="AY43" s="11">
        <v>5.9832999999999998</v>
      </c>
      <c r="AZ43" s="9"/>
      <c r="BA43" s="9"/>
      <c r="BB43" s="9" t="s">
        <v>78</v>
      </c>
      <c r="BC43" s="9">
        <v>1.6183000000000001</v>
      </c>
      <c r="BD43" s="9"/>
      <c r="BE43" s="9"/>
      <c r="BF43" s="9" t="s">
        <v>78</v>
      </c>
      <c r="BG43" s="9">
        <v>3.95</v>
      </c>
      <c r="BH43" s="9"/>
      <c r="BI43" s="9"/>
      <c r="BJ43" s="9" t="s">
        <v>78</v>
      </c>
      <c r="BK43" s="9">
        <v>6.1749999999999998</v>
      </c>
      <c r="BL43" s="9"/>
      <c r="BM43" s="9"/>
      <c r="BN43" s="9" t="s">
        <v>78</v>
      </c>
      <c r="BO43" s="9">
        <v>1.5166999999999999</v>
      </c>
      <c r="BP43" s="9"/>
      <c r="BQ43" s="9"/>
      <c r="BR43" s="9" t="s">
        <v>78</v>
      </c>
      <c r="BS43" s="9">
        <v>3.86</v>
      </c>
      <c r="BT43" s="9"/>
      <c r="BU43" s="9"/>
      <c r="BV43" s="9" t="s">
        <v>78</v>
      </c>
      <c r="BW43" s="9">
        <v>6.4367000000000001</v>
      </c>
      <c r="BX43" s="9"/>
      <c r="BY43" s="9"/>
    </row>
    <row r="44" spans="1:77" ht="15.6" thickTop="1" thickBot="1" x14ac:dyDescent="0.35">
      <c r="A44" s="71"/>
      <c r="B44" s="68">
        <v>2020</v>
      </c>
      <c r="C44" s="68">
        <v>117415</v>
      </c>
      <c r="D44" s="68">
        <v>7</v>
      </c>
      <c r="E44" s="14">
        <f t="shared" si="19"/>
        <v>5.9617595707533111</v>
      </c>
      <c r="F44" s="14">
        <f t="shared" si="15"/>
        <v>1.7853656674976262</v>
      </c>
      <c r="G44" s="62"/>
      <c r="H44" s="16"/>
      <c r="I44" s="23"/>
      <c r="J44" s="23"/>
      <c r="K44" s="72"/>
      <c r="L44" s="68">
        <v>56480</v>
      </c>
      <c r="M44" s="68">
        <v>16</v>
      </c>
      <c r="N44" s="14">
        <f t="shared" si="20"/>
        <v>28.328611898016995</v>
      </c>
      <c r="O44" s="14">
        <f t="shared" si="17"/>
        <v>3.3438723150428857</v>
      </c>
      <c r="P44" s="62"/>
      <c r="Q44" s="16"/>
      <c r="R44" s="23"/>
      <c r="S44" s="23"/>
      <c r="T44" s="72"/>
      <c r="U44" s="70">
        <v>23845</v>
      </c>
      <c r="V44" s="68">
        <v>115</v>
      </c>
      <c r="W44" s="14">
        <f t="shared" si="21"/>
        <v>482.28140071293768</v>
      </c>
      <c r="X44" s="14">
        <f t="shared" si="22"/>
        <v>6.1785277626011537</v>
      </c>
      <c r="Y44" s="62"/>
      <c r="Z44" s="16"/>
      <c r="AA44" s="23"/>
      <c r="AB44" s="23"/>
      <c r="AC44" s="72"/>
      <c r="AD44" s="9" t="s">
        <v>83</v>
      </c>
      <c r="AE44" s="9">
        <v>0</v>
      </c>
      <c r="AF44" s="9"/>
      <c r="AG44" s="9"/>
      <c r="AH44" s="9" t="s">
        <v>83</v>
      </c>
      <c r="AI44" s="9">
        <v>0.33169999999999999</v>
      </c>
      <c r="AJ44" s="9"/>
      <c r="AK44" s="9"/>
      <c r="AL44" s="10" t="s">
        <v>83</v>
      </c>
      <c r="AM44" s="10">
        <v>0.40579999999999999</v>
      </c>
      <c r="AN44" s="10"/>
      <c r="AO44" s="10"/>
      <c r="AP44" s="11" t="s">
        <v>83</v>
      </c>
      <c r="AQ44" s="11">
        <v>0.49630000000000002</v>
      </c>
      <c r="AR44" s="11"/>
      <c r="AS44" s="11"/>
      <c r="AT44" s="11" t="s">
        <v>83</v>
      </c>
      <c r="AU44" s="11">
        <v>5.5599999999999997E-2</v>
      </c>
      <c r="AV44" s="11"/>
      <c r="AW44" s="11"/>
      <c r="AX44" s="11" t="s">
        <v>83</v>
      </c>
      <c r="AY44" s="11">
        <v>0.87880000000000003</v>
      </c>
      <c r="AZ44" s="9"/>
      <c r="BA44" s="9"/>
      <c r="BB44" s="9" t="s">
        <v>83</v>
      </c>
      <c r="BC44" s="9">
        <v>2.3E-3</v>
      </c>
      <c r="BD44" s="9"/>
      <c r="BE44" s="9"/>
      <c r="BF44" s="9" t="s">
        <v>83</v>
      </c>
      <c r="BG44" s="9">
        <v>5.0000000000000001E-3</v>
      </c>
      <c r="BH44" s="9"/>
      <c r="BI44" s="9"/>
      <c r="BJ44" s="9" t="s">
        <v>83</v>
      </c>
      <c r="BK44" s="9">
        <v>0.3599</v>
      </c>
      <c r="BL44" s="9"/>
      <c r="BM44" s="9"/>
      <c r="BN44" s="9" t="s">
        <v>83</v>
      </c>
      <c r="BO44" s="9">
        <v>1.5699999999999999E-2</v>
      </c>
      <c r="BP44" s="9"/>
      <c r="BQ44" s="9"/>
      <c r="BR44" s="9" t="s">
        <v>83</v>
      </c>
      <c r="BS44" s="9">
        <v>0.76470000000000005</v>
      </c>
      <c r="BT44" s="9"/>
      <c r="BU44" s="9"/>
      <c r="BV44" s="9" t="s">
        <v>83</v>
      </c>
      <c r="BW44" s="9">
        <v>5.5300000000000002E-2</v>
      </c>
      <c r="BX44" s="9"/>
      <c r="BY44" s="9"/>
    </row>
    <row r="45" spans="1:77" ht="15.6" thickTop="1" thickBot="1" x14ac:dyDescent="0.35">
      <c r="A45" s="73"/>
      <c r="B45" s="68">
        <v>2021</v>
      </c>
      <c r="C45" s="68">
        <v>122868</v>
      </c>
      <c r="D45" s="68">
        <v>6</v>
      </c>
      <c r="E45" s="14">
        <f t="shared" si="19"/>
        <v>4.8832893837288802</v>
      </c>
      <c r="F45" s="14">
        <f t="shared" si="15"/>
        <v>1.5858190468354665</v>
      </c>
      <c r="G45" s="65"/>
      <c r="H45" s="16"/>
      <c r="I45" s="28"/>
      <c r="J45" s="28"/>
      <c r="K45" s="74"/>
      <c r="L45" s="68">
        <v>59432</v>
      </c>
      <c r="M45" s="68">
        <v>34</v>
      </c>
      <c r="N45" s="14">
        <f t="shared" si="20"/>
        <v>57.208237986270021</v>
      </c>
      <c r="O45" s="14">
        <f t="shared" si="17"/>
        <v>4.0466979087547479</v>
      </c>
      <c r="P45" s="65"/>
      <c r="Q45" s="16"/>
      <c r="R45" s="28"/>
      <c r="S45" s="28"/>
      <c r="T45" s="74"/>
      <c r="U45" s="70">
        <v>24725</v>
      </c>
      <c r="V45" s="68">
        <v>113</v>
      </c>
      <c r="W45" s="14">
        <f t="shared" si="21"/>
        <v>457.02730030333669</v>
      </c>
      <c r="X45" s="14">
        <f t="shared" si="22"/>
        <v>6.1247431271916559</v>
      </c>
      <c r="Y45" s="65"/>
      <c r="Z45" s="16"/>
      <c r="AA45" s="28"/>
      <c r="AB45" s="28"/>
      <c r="AC45" s="74"/>
      <c r="AD45" s="9" t="s">
        <v>89</v>
      </c>
      <c r="AE45" s="9">
        <v>-0.24990000000000001</v>
      </c>
      <c r="AF45" s="9"/>
      <c r="AG45" s="9"/>
      <c r="AH45" s="9" t="s">
        <v>89</v>
      </c>
      <c r="AI45" s="9">
        <v>0.16470000000000001</v>
      </c>
      <c r="AJ45" s="9"/>
      <c r="AK45" s="9"/>
      <c r="AL45" s="10" t="s">
        <v>89</v>
      </c>
      <c r="AM45" s="10">
        <v>0.25729999999999997</v>
      </c>
      <c r="AN45" s="10"/>
      <c r="AO45" s="10"/>
      <c r="AP45" s="11" t="s">
        <v>89</v>
      </c>
      <c r="AQ45" s="11">
        <v>0.37040000000000001</v>
      </c>
      <c r="AR45" s="11"/>
      <c r="AS45" s="11"/>
      <c r="AT45" s="11" t="s">
        <v>89</v>
      </c>
      <c r="AU45" s="11">
        <v>-0.18049999999999999</v>
      </c>
      <c r="AV45" s="11"/>
      <c r="AW45" s="11"/>
      <c r="AX45" s="11" t="s">
        <v>89</v>
      </c>
      <c r="AY45" s="11">
        <v>0.84850000000000003</v>
      </c>
      <c r="AZ45" s="9"/>
      <c r="BA45" s="9"/>
      <c r="BB45" s="9" t="s">
        <v>89</v>
      </c>
      <c r="BC45" s="9">
        <v>-0.24709999999999999</v>
      </c>
      <c r="BD45" s="9"/>
      <c r="BE45" s="9"/>
      <c r="BF45" s="9" t="s">
        <v>89</v>
      </c>
      <c r="BG45" s="9">
        <v>-0.2437</v>
      </c>
      <c r="BH45" s="9"/>
      <c r="BI45" s="9"/>
      <c r="BJ45" s="9" t="s">
        <v>89</v>
      </c>
      <c r="BK45" s="9">
        <v>0.19980000000000001</v>
      </c>
      <c r="BL45" s="9"/>
      <c r="BM45" s="9"/>
      <c r="BN45" s="9" t="s">
        <v>89</v>
      </c>
      <c r="BO45" s="9">
        <v>-0.2303</v>
      </c>
      <c r="BP45" s="9"/>
      <c r="BQ45" s="9"/>
      <c r="BR45" s="9" t="s">
        <v>89</v>
      </c>
      <c r="BS45" s="9">
        <v>0.70579999999999998</v>
      </c>
      <c r="BT45" s="9"/>
      <c r="BU45" s="9"/>
      <c r="BV45" s="9" t="s">
        <v>89</v>
      </c>
      <c r="BW45" s="9">
        <v>-0.18090000000000001</v>
      </c>
      <c r="BX45" s="9"/>
      <c r="BY45" s="9"/>
    </row>
    <row r="46" spans="1:77" ht="15.6" thickTop="1" thickBot="1" x14ac:dyDescent="0.35">
      <c r="A46" s="56" t="s">
        <v>99</v>
      </c>
      <c r="B46" s="57">
        <v>2016</v>
      </c>
      <c r="C46" s="57">
        <v>91318</v>
      </c>
      <c r="D46" s="57">
        <v>5</v>
      </c>
      <c r="E46" s="14">
        <f t="shared" si="19"/>
        <v>5.4753717777437085</v>
      </c>
      <c r="F46" s="14">
        <f t="shared" si="15"/>
        <v>1.7002601780078739</v>
      </c>
      <c r="G46" s="58">
        <v>1.06E-2</v>
      </c>
      <c r="H46" s="16">
        <f t="shared" si="23"/>
        <v>1.0656379029815977</v>
      </c>
      <c r="I46" s="17">
        <f>(EXP(-0.295) - 1) * 100</f>
        <v>-25.54684125340906</v>
      </c>
      <c r="J46" s="17">
        <f>(EXP(0.316) - 1) * 100</f>
        <v>37.163025562604268</v>
      </c>
      <c r="K46" s="59">
        <v>0.92820000000000003</v>
      </c>
      <c r="L46" s="57">
        <v>48133</v>
      </c>
      <c r="M46" s="57">
        <v>26</v>
      </c>
      <c r="N46" s="14">
        <f t="shared" si="20"/>
        <v>54.016994577524777</v>
      </c>
      <c r="O46" s="14">
        <f t="shared" si="17"/>
        <v>3.9892987114506928</v>
      </c>
      <c r="P46" s="58">
        <v>5.1000000000000004E-3</v>
      </c>
      <c r="Q46" s="16">
        <f t="shared" si="24"/>
        <v>0.51130271367170188</v>
      </c>
      <c r="R46" s="17">
        <f>(EXP(-0.095) - 1) * 100</f>
        <v>-9.0627065531768576</v>
      </c>
      <c r="S46" s="17">
        <f>(EXP(0.106) - 1) * 100</f>
        <v>11.182187650653086</v>
      </c>
      <c r="T46" s="59">
        <v>0.89400000000000002</v>
      </c>
      <c r="U46" s="60">
        <v>22975</v>
      </c>
      <c r="V46" s="57">
        <v>100</v>
      </c>
      <c r="W46" s="14">
        <f t="shared" si="21"/>
        <v>435.25571273122961</v>
      </c>
      <c r="X46" s="14">
        <f t="shared" si="22"/>
        <v>6.0759337037344316</v>
      </c>
      <c r="Y46" s="58">
        <v>2.7699999999999999E-2</v>
      </c>
      <c r="Z46" s="16">
        <f t="shared" ref="Z46" si="26">(EXP(Y46)-1)*100</f>
        <v>2.8087211989276994</v>
      </c>
      <c r="AA46" s="17">
        <f>(EXP(-0.024) - 1) * 100</f>
        <v>-2.3714290242090708</v>
      </c>
      <c r="AB46" s="17">
        <f>(EXP(0.079) - 1) * 100</f>
        <v>8.2204322070314806</v>
      </c>
      <c r="AC46" s="59">
        <v>0.20799999999999999</v>
      </c>
      <c r="AD46" s="9" t="s">
        <v>94</v>
      </c>
      <c r="AE46" s="9">
        <v>6.8999999999999999E-3</v>
      </c>
      <c r="AF46" s="9"/>
      <c r="AG46" s="9"/>
      <c r="AH46" s="9" t="s">
        <v>94</v>
      </c>
      <c r="AI46" s="9">
        <v>0.57599999999999996</v>
      </c>
      <c r="AJ46" s="9"/>
      <c r="AK46" s="9"/>
      <c r="AL46" s="10" t="s">
        <v>94</v>
      </c>
      <c r="AM46" s="10">
        <v>0.63700000000000001</v>
      </c>
      <c r="AN46" s="10"/>
      <c r="AO46" s="10"/>
      <c r="AP46" s="11" t="s">
        <v>94</v>
      </c>
      <c r="AQ46" s="11">
        <v>0.70450000000000002</v>
      </c>
      <c r="AR46" s="11"/>
      <c r="AS46" s="11"/>
      <c r="AT46" s="11" t="s">
        <v>94</v>
      </c>
      <c r="AU46" s="11">
        <v>0.23580000000000001</v>
      </c>
      <c r="AV46" s="11"/>
      <c r="AW46" s="11"/>
      <c r="AX46" s="11" t="s">
        <v>94</v>
      </c>
      <c r="AY46" s="11">
        <v>0.9375</v>
      </c>
      <c r="AZ46" s="9"/>
      <c r="BA46" s="9"/>
      <c r="BB46" s="9" t="s">
        <v>94</v>
      </c>
      <c r="BC46" s="9">
        <v>4.7899999999999998E-2</v>
      </c>
      <c r="BD46" s="9"/>
      <c r="BE46" s="9"/>
      <c r="BF46" s="9" t="s">
        <v>94</v>
      </c>
      <c r="BG46" s="9">
        <v>7.0800000000000002E-2</v>
      </c>
      <c r="BH46" s="9"/>
      <c r="BI46" s="9"/>
      <c r="BJ46" s="9" t="s">
        <v>94</v>
      </c>
      <c r="BK46" s="9">
        <v>0.59989999999999999</v>
      </c>
      <c r="BL46" s="9"/>
      <c r="BM46" s="9"/>
      <c r="BN46" s="9" t="s">
        <v>94</v>
      </c>
      <c r="BO46" s="9">
        <v>0.12540000000000001</v>
      </c>
      <c r="BP46" s="9"/>
      <c r="BQ46" s="9"/>
      <c r="BR46" s="9" t="s">
        <v>94</v>
      </c>
      <c r="BS46" s="9">
        <v>0.87450000000000006</v>
      </c>
      <c r="BT46" s="9"/>
      <c r="BU46" s="9"/>
      <c r="BV46" s="9" t="s">
        <v>94</v>
      </c>
      <c r="BW46" s="9">
        <v>0.2351</v>
      </c>
      <c r="BX46" s="9"/>
      <c r="BY46" s="9"/>
    </row>
    <row r="47" spans="1:77" ht="15.6" thickTop="1" thickBot="1" x14ac:dyDescent="0.35">
      <c r="A47" s="61"/>
      <c r="B47" s="57">
        <v>2017</v>
      </c>
      <c r="C47" s="57">
        <v>95849</v>
      </c>
      <c r="D47" s="57">
        <v>4</v>
      </c>
      <c r="E47" s="14">
        <f t="shared" si="19"/>
        <v>4.1732308109630774</v>
      </c>
      <c r="F47" s="14">
        <f t="shared" si="15"/>
        <v>1.4286905106389318</v>
      </c>
      <c r="G47" s="62"/>
      <c r="H47" s="16"/>
      <c r="I47" s="23"/>
      <c r="J47" s="23"/>
      <c r="K47" s="63"/>
      <c r="L47" s="57">
        <v>50040</v>
      </c>
      <c r="M47" s="57">
        <v>22</v>
      </c>
      <c r="N47" s="14">
        <f t="shared" si="20"/>
        <v>43.964828137490002</v>
      </c>
      <c r="O47" s="14">
        <f t="shared" si="17"/>
        <v>3.7833899537476965</v>
      </c>
      <c r="P47" s="62"/>
      <c r="Q47" s="16"/>
      <c r="R47" s="23"/>
      <c r="S47" s="23"/>
      <c r="T47" s="63"/>
      <c r="U47" s="60">
        <v>23909</v>
      </c>
      <c r="V47" s="57">
        <v>103</v>
      </c>
      <c r="W47" s="14">
        <f t="shared" si="21"/>
        <v>430.80011711071143</v>
      </c>
      <c r="X47" s="14">
        <f t="shared" si="22"/>
        <v>6.0656442171269305</v>
      </c>
      <c r="Y47" s="62"/>
      <c r="Z47" s="16"/>
      <c r="AA47" s="23"/>
      <c r="AB47" s="23"/>
      <c r="AC47" s="63"/>
      <c r="AD47" s="9" t="s">
        <v>100</v>
      </c>
      <c r="AE47" s="9">
        <v>1.6607000000000001</v>
      </c>
      <c r="AF47" s="9" t="s">
        <v>205</v>
      </c>
      <c r="AG47" s="9" t="s">
        <v>206</v>
      </c>
      <c r="AH47" s="9" t="s">
        <v>100</v>
      </c>
      <c r="AI47" s="9">
        <v>3.794</v>
      </c>
      <c r="AJ47" s="9" t="s">
        <v>207</v>
      </c>
      <c r="AK47" s="9" t="s">
        <v>102</v>
      </c>
      <c r="AL47" s="10" t="s">
        <v>100</v>
      </c>
      <c r="AM47" s="10">
        <v>5.9847000000000001</v>
      </c>
      <c r="AN47" s="10" t="s">
        <v>208</v>
      </c>
      <c r="AO47" s="10" t="s">
        <v>102</v>
      </c>
      <c r="AP47" s="11" t="s">
        <v>100</v>
      </c>
      <c r="AQ47" s="11">
        <v>-2.7753000000000001</v>
      </c>
      <c r="AR47" s="11" t="s">
        <v>209</v>
      </c>
      <c r="AS47" s="11" t="s">
        <v>210</v>
      </c>
      <c r="AT47" s="11" t="s">
        <v>100</v>
      </c>
      <c r="AU47" s="11">
        <v>4.0467000000000004</v>
      </c>
      <c r="AV47" s="11" t="s">
        <v>211</v>
      </c>
      <c r="AW47" s="11" t="s">
        <v>102</v>
      </c>
      <c r="AX47" s="11" t="s">
        <v>100</v>
      </c>
      <c r="AY47" s="11">
        <v>5.7272999999999996</v>
      </c>
      <c r="AZ47" s="9" t="s">
        <v>212</v>
      </c>
      <c r="BA47" s="9" t="s">
        <v>102</v>
      </c>
      <c r="BB47" s="9" t="s">
        <v>100</v>
      </c>
      <c r="BC47" s="9">
        <v>1.5812999999999999</v>
      </c>
      <c r="BD47" s="9" t="s">
        <v>213</v>
      </c>
      <c r="BE47" s="9" t="s">
        <v>214</v>
      </c>
      <c r="BF47" s="9" t="s">
        <v>100</v>
      </c>
      <c r="BG47" s="9">
        <v>3.9319999999999999</v>
      </c>
      <c r="BH47" s="9" t="s">
        <v>215</v>
      </c>
      <c r="BI47" s="9" t="s">
        <v>102</v>
      </c>
      <c r="BJ47" s="9" t="s">
        <v>100</v>
      </c>
      <c r="BK47" s="9">
        <v>6.0780000000000003</v>
      </c>
      <c r="BL47" s="9" t="s">
        <v>216</v>
      </c>
      <c r="BM47" s="9" t="s">
        <v>102</v>
      </c>
      <c r="BN47" s="9" t="s">
        <v>100</v>
      </c>
      <c r="BO47" s="9">
        <v>1.6247</v>
      </c>
      <c r="BP47" s="9" t="s">
        <v>217</v>
      </c>
      <c r="BQ47" s="9" t="s">
        <v>218</v>
      </c>
      <c r="BR47" s="9" t="s">
        <v>100</v>
      </c>
      <c r="BS47" s="9">
        <v>4.2279999999999998</v>
      </c>
      <c r="BT47" s="9" t="s">
        <v>219</v>
      </c>
      <c r="BU47" s="9" t="s">
        <v>102</v>
      </c>
      <c r="BV47" s="9" t="s">
        <v>100</v>
      </c>
      <c r="BW47" s="9">
        <v>6.5046999999999997</v>
      </c>
      <c r="BX47" s="9" t="s">
        <v>220</v>
      </c>
      <c r="BY47" s="9" t="s">
        <v>102</v>
      </c>
    </row>
    <row r="48" spans="1:77" ht="15.6" thickTop="1" thickBot="1" x14ac:dyDescent="0.35">
      <c r="A48" s="61"/>
      <c r="B48" s="57">
        <v>2018</v>
      </c>
      <c r="C48" s="57">
        <v>100478</v>
      </c>
      <c r="D48" s="57">
        <v>5</v>
      </c>
      <c r="E48" s="14">
        <f t="shared" si="19"/>
        <v>4.976213698521069</v>
      </c>
      <c r="F48" s="14">
        <f t="shared" si="15"/>
        <v>1.6046693003589982</v>
      </c>
      <c r="G48" s="62"/>
      <c r="H48" s="16"/>
      <c r="I48" s="23"/>
      <c r="J48" s="23"/>
      <c r="K48" s="63"/>
      <c r="L48" s="57">
        <v>52093</v>
      </c>
      <c r="M48" s="57">
        <v>29</v>
      </c>
      <c r="N48" s="14">
        <f t="shared" si="20"/>
        <v>55.669667709673085</v>
      </c>
      <c r="O48" s="14">
        <f t="shared" si="17"/>
        <v>4.0194354332477138</v>
      </c>
      <c r="P48" s="62"/>
      <c r="Q48" s="16"/>
      <c r="R48" s="23"/>
      <c r="S48" s="23"/>
      <c r="T48" s="63"/>
      <c r="U48" s="60">
        <v>24917</v>
      </c>
      <c r="V48" s="57">
        <v>125</v>
      </c>
      <c r="W48" s="14">
        <f t="shared" si="21"/>
        <v>501.66552955813302</v>
      </c>
      <c r="X48" s="14">
        <f t="shared" si="22"/>
        <v>6.2179336218507686</v>
      </c>
      <c r="Y48" s="62"/>
      <c r="Z48" s="16"/>
      <c r="AA48" s="23"/>
      <c r="AB48" s="23"/>
      <c r="AC48" s="63"/>
      <c r="AD48" s="9" t="s">
        <v>119</v>
      </c>
      <c r="AE48" s="9">
        <v>-1.1000000000000001E-3</v>
      </c>
      <c r="AF48" s="9" t="s">
        <v>221</v>
      </c>
      <c r="AG48" s="9" t="s">
        <v>222</v>
      </c>
      <c r="AH48" s="9" t="s">
        <v>119</v>
      </c>
      <c r="AI48" s="9">
        <v>4.4600000000000001E-2</v>
      </c>
      <c r="AJ48" s="9" t="s">
        <v>223</v>
      </c>
      <c r="AK48" s="9" t="s">
        <v>224</v>
      </c>
      <c r="AL48" s="10" t="s">
        <v>119</v>
      </c>
      <c r="AM48" s="10">
        <v>4.3400000000000001E-2</v>
      </c>
      <c r="AN48" s="10" t="s">
        <v>225</v>
      </c>
      <c r="AO48" s="10" t="s">
        <v>226</v>
      </c>
      <c r="AP48" s="11" t="s">
        <v>119</v>
      </c>
      <c r="AQ48" s="11">
        <v>0.93489999999999995</v>
      </c>
      <c r="AR48" s="11" t="s">
        <v>227</v>
      </c>
      <c r="AS48" s="11" t="s">
        <v>228</v>
      </c>
      <c r="AT48" s="11" t="s">
        <v>119</v>
      </c>
      <c r="AU48" s="11">
        <v>-3.8600000000000002E-2</v>
      </c>
      <c r="AV48" s="11" t="s">
        <v>229</v>
      </c>
      <c r="AW48" s="11" t="s">
        <v>230</v>
      </c>
      <c r="AX48" s="11" t="s">
        <v>119</v>
      </c>
      <c r="AY48" s="11">
        <v>7.3099999999999998E-2</v>
      </c>
      <c r="AZ48" s="9" t="s">
        <v>231</v>
      </c>
      <c r="BA48" s="9" t="s">
        <v>232</v>
      </c>
      <c r="BB48" s="9" t="s">
        <v>119</v>
      </c>
      <c r="BC48" s="9">
        <v>1.06E-2</v>
      </c>
      <c r="BD48" s="9" t="s">
        <v>233</v>
      </c>
      <c r="BE48" s="9" t="s">
        <v>234</v>
      </c>
      <c r="BF48" s="9" t="s">
        <v>119</v>
      </c>
      <c r="BG48" s="9">
        <v>5.1000000000000004E-3</v>
      </c>
      <c r="BH48" s="9" t="s">
        <v>235</v>
      </c>
      <c r="BI48" s="9" t="s">
        <v>236</v>
      </c>
      <c r="BJ48" s="9" t="s">
        <v>119</v>
      </c>
      <c r="BK48" s="9">
        <v>2.7699999999999999E-2</v>
      </c>
      <c r="BL48" s="9" t="s">
        <v>237</v>
      </c>
      <c r="BM48" s="9" t="s">
        <v>238</v>
      </c>
      <c r="BN48" s="9" t="s">
        <v>119</v>
      </c>
      <c r="BO48" s="9">
        <v>-3.09E-2</v>
      </c>
      <c r="BP48" s="9" t="s">
        <v>239</v>
      </c>
      <c r="BQ48" s="9" t="s">
        <v>240</v>
      </c>
      <c r="BR48" s="9" t="s">
        <v>119</v>
      </c>
      <c r="BS48" s="9">
        <v>-0.1051</v>
      </c>
      <c r="BT48" s="9" t="s">
        <v>241</v>
      </c>
      <c r="BU48" s="9" t="s">
        <v>242</v>
      </c>
      <c r="BV48" s="9" t="s">
        <v>119</v>
      </c>
      <c r="BW48" s="9">
        <v>-1.9400000000000001E-2</v>
      </c>
      <c r="BX48" s="9" t="s">
        <v>243</v>
      </c>
      <c r="BY48" s="9" t="s">
        <v>244</v>
      </c>
    </row>
    <row r="49" spans="1:77" ht="15.6" thickTop="1" thickBot="1" x14ac:dyDescent="0.35">
      <c r="A49" s="61"/>
      <c r="B49" s="57">
        <v>2019</v>
      </c>
      <c r="C49" s="57">
        <v>105190</v>
      </c>
      <c r="D49" s="57">
        <v>4</v>
      </c>
      <c r="E49" s="14">
        <f t="shared" si="19"/>
        <v>3.8026428367715566</v>
      </c>
      <c r="F49" s="14">
        <f t="shared" si="15"/>
        <v>1.3356963083567994</v>
      </c>
      <c r="G49" s="62"/>
      <c r="H49" s="16"/>
      <c r="I49" s="23"/>
      <c r="J49" s="23"/>
      <c r="K49" s="63"/>
      <c r="L49" s="57">
        <v>54335</v>
      </c>
      <c r="M49" s="57">
        <v>28</v>
      </c>
      <c r="N49" s="14">
        <f t="shared" si="20"/>
        <v>51.532161590135274</v>
      </c>
      <c r="O49" s="14">
        <f t="shared" si="17"/>
        <v>3.9422061096484806</v>
      </c>
      <c r="P49" s="62"/>
      <c r="Q49" s="16"/>
      <c r="R49" s="23"/>
      <c r="S49" s="23"/>
      <c r="T49" s="63"/>
      <c r="U49" s="60">
        <v>25974</v>
      </c>
      <c r="V49" s="57">
        <v>140</v>
      </c>
      <c r="W49" s="14">
        <f t="shared" si="21"/>
        <v>539.00053900053899</v>
      </c>
      <c r="X49" s="14">
        <f t="shared" si="22"/>
        <v>6.2897165709094969</v>
      </c>
      <c r="Y49" s="62"/>
      <c r="Z49" s="16"/>
      <c r="AA49" s="23"/>
      <c r="AB49" s="23"/>
      <c r="AC49" s="63"/>
      <c r="AD49" s="9" t="s">
        <v>148</v>
      </c>
      <c r="AE49" s="9" t="s">
        <v>245</v>
      </c>
      <c r="AF49" s="9"/>
      <c r="AG49" s="9"/>
      <c r="AH49" s="9" t="s">
        <v>148</v>
      </c>
      <c r="AI49" s="9" t="s">
        <v>246</v>
      </c>
      <c r="AJ49" s="9"/>
      <c r="AK49" s="9"/>
      <c r="AL49" s="10" t="s">
        <v>148</v>
      </c>
      <c r="AM49" s="10" t="s">
        <v>247</v>
      </c>
      <c r="AN49" s="10"/>
      <c r="AO49" s="10"/>
      <c r="AP49" s="11" t="s">
        <v>148</v>
      </c>
      <c r="AQ49" s="11" t="s">
        <v>248</v>
      </c>
      <c r="AR49" s="11"/>
      <c r="AS49" s="11"/>
      <c r="AT49" s="11" t="s">
        <v>148</v>
      </c>
      <c r="AU49" s="11" t="s">
        <v>249</v>
      </c>
      <c r="AV49" s="11"/>
      <c r="AW49" s="11"/>
      <c r="AX49" s="11" t="s">
        <v>148</v>
      </c>
      <c r="AY49" s="11" t="s">
        <v>250</v>
      </c>
      <c r="AZ49" s="9"/>
      <c r="BA49" s="9"/>
      <c r="BB49" s="9" t="s">
        <v>148</v>
      </c>
      <c r="BC49" s="9" t="s">
        <v>251</v>
      </c>
      <c r="BD49" s="9"/>
      <c r="BE49" s="9"/>
      <c r="BF49" s="9" t="s">
        <v>148</v>
      </c>
      <c r="BG49" s="9" t="s">
        <v>252</v>
      </c>
      <c r="BH49" s="9"/>
      <c r="BI49" s="9"/>
      <c r="BJ49" s="9" t="s">
        <v>148</v>
      </c>
      <c r="BK49" s="9" t="s">
        <v>253</v>
      </c>
      <c r="BL49" s="9"/>
      <c r="BM49" s="9"/>
      <c r="BN49" s="9" t="s">
        <v>148</v>
      </c>
      <c r="BO49" s="9" t="s">
        <v>254</v>
      </c>
      <c r="BP49" s="9"/>
      <c r="BQ49" s="9"/>
      <c r="BR49" s="9" t="s">
        <v>148</v>
      </c>
      <c r="BS49" s="9" t="s">
        <v>255</v>
      </c>
      <c r="BT49" s="9"/>
      <c r="BU49" s="9"/>
      <c r="BV49" s="9" t="s">
        <v>148</v>
      </c>
      <c r="BW49" s="9" t="s">
        <v>256</v>
      </c>
      <c r="BX49" s="9"/>
      <c r="BY49" s="9"/>
    </row>
    <row r="50" spans="1:77" ht="15.6" thickTop="1" thickBot="1" x14ac:dyDescent="0.35">
      <c r="A50" s="61"/>
      <c r="B50" s="57">
        <v>2020</v>
      </c>
      <c r="C50" s="57">
        <v>109866</v>
      </c>
      <c r="D50" s="57">
        <v>12</v>
      </c>
      <c r="E50" s="14">
        <f t="shared" si="19"/>
        <v>10.922396373764405</v>
      </c>
      <c r="F50" s="14">
        <f t="shared" si="15"/>
        <v>2.39081539438846</v>
      </c>
      <c r="G50" s="62"/>
      <c r="H50" s="16"/>
      <c r="I50" s="23"/>
      <c r="J50" s="23"/>
      <c r="K50" s="63"/>
      <c r="L50" s="57">
        <v>56758</v>
      </c>
      <c r="M50" s="57">
        <v>36</v>
      </c>
      <c r="N50" s="14">
        <f t="shared" si="20"/>
        <v>63.427182071249867</v>
      </c>
      <c r="O50" s="14">
        <f t="shared" si="17"/>
        <v>4.1498925088549123</v>
      </c>
      <c r="P50" s="62"/>
      <c r="Q50" s="16"/>
      <c r="R50" s="23"/>
      <c r="S50" s="23"/>
      <c r="T50" s="63"/>
      <c r="U50" s="60">
        <v>26979</v>
      </c>
      <c r="V50" s="57">
        <v>135</v>
      </c>
      <c r="W50" s="14">
        <f t="shared" si="21"/>
        <v>500.38919159346165</v>
      </c>
      <c r="X50" s="14">
        <f t="shared" si="22"/>
        <v>6.2153861788260327</v>
      </c>
      <c r="Y50" s="62"/>
      <c r="Z50" s="16"/>
      <c r="AA50" s="23"/>
      <c r="AB50" s="23"/>
      <c r="AC50" s="63"/>
      <c r="AD50" s="9" t="s">
        <v>161</v>
      </c>
      <c r="AE50" s="9" t="s">
        <v>257</v>
      </c>
      <c r="AF50" s="9"/>
      <c r="AG50" s="9"/>
      <c r="AH50" s="9" t="s">
        <v>161</v>
      </c>
      <c r="AI50" s="9" t="s">
        <v>258</v>
      </c>
      <c r="AJ50" s="9"/>
      <c r="AK50" s="9"/>
      <c r="AL50" s="10" t="s">
        <v>161</v>
      </c>
      <c r="AM50" s="10" t="s">
        <v>259</v>
      </c>
      <c r="AN50" s="10"/>
      <c r="AO50" s="10"/>
      <c r="AP50" s="11" t="s">
        <v>161</v>
      </c>
      <c r="AQ50" s="11" t="s">
        <v>260</v>
      </c>
      <c r="AR50" s="11"/>
      <c r="AS50" s="11"/>
      <c r="AT50" s="11" t="s">
        <v>161</v>
      </c>
      <c r="AU50" s="11" t="s">
        <v>261</v>
      </c>
      <c r="AV50" s="11"/>
      <c r="AW50" s="11"/>
      <c r="AX50" s="11" t="s">
        <v>161</v>
      </c>
      <c r="AY50" s="11" t="s">
        <v>262</v>
      </c>
      <c r="AZ50" s="9"/>
      <c r="BA50" s="9"/>
      <c r="BB50" s="9" t="s">
        <v>161</v>
      </c>
      <c r="BC50" s="9" t="s">
        <v>263</v>
      </c>
      <c r="BD50" s="9"/>
      <c r="BE50" s="9"/>
      <c r="BF50" s="9" t="s">
        <v>161</v>
      </c>
      <c r="BG50" s="9" t="s">
        <v>264</v>
      </c>
      <c r="BH50" s="9"/>
      <c r="BI50" s="9"/>
      <c r="BJ50" s="9" t="s">
        <v>161</v>
      </c>
      <c r="BK50" s="9" t="s">
        <v>265</v>
      </c>
      <c r="BL50" s="9"/>
      <c r="BM50" s="9"/>
      <c r="BN50" s="9" t="s">
        <v>161</v>
      </c>
      <c r="BO50" s="9" t="s">
        <v>266</v>
      </c>
      <c r="BP50" s="9"/>
      <c r="BQ50" s="9"/>
      <c r="BR50" s="9" t="s">
        <v>161</v>
      </c>
      <c r="BS50" s="9" t="s">
        <v>267</v>
      </c>
      <c r="BT50" s="9"/>
      <c r="BU50" s="9"/>
      <c r="BV50" s="9" t="s">
        <v>161</v>
      </c>
      <c r="BW50" s="9" t="s">
        <v>268</v>
      </c>
      <c r="BX50" s="9"/>
      <c r="BY50" s="9"/>
    </row>
    <row r="51" spans="1:77" ht="15.6" thickTop="1" thickBot="1" x14ac:dyDescent="0.35">
      <c r="A51" s="64"/>
      <c r="B51" s="57">
        <v>2021</v>
      </c>
      <c r="C51" s="57">
        <v>114142</v>
      </c>
      <c r="D51" s="57">
        <v>4</v>
      </c>
      <c r="E51" s="14">
        <f t="shared" si="19"/>
        <v>3.5044067915403621</v>
      </c>
      <c r="F51" s="14">
        <f t="shared" si="15"/>
        <v>1.2540212598119496</v>
      </c>
      <c r="G51" s="65"/>
      <c r="H51" s="16"/>
      <c r="I51" s="28"/>
      <c r="J51" s="28"/>
      <c r="K51" s="66"/>
      <c r="L51" s="57">
        <v>59190</v>
      </c>
      <c r="M51" s="57">
        <v>27</v>
      </c>
      <c r="N51" s="14">
        <f t="shared" si="20"/>
        <v>45.615813482007098</v>
      </c>
      <c r="O51" s="14">
        <f t="shared" si="17"/>
        <v>3.8202544432897869</v>
      </c>
      <c r="P51" s="65"/>
      <c r="Q51" s="16"/>
      <c r="R51" s="28"/>
      <c r="S51" s="28"/>
      <c r="T51" s="66"/>
      <c r="U51" s="60">
        <v>27736</v>
      </c>
      <c r="V51" s="57">
        <v>133</v>
      </c>
      <c r="W51" s="14">
        <f t="shared" si="21"/>
        <v>479.52119988462653</v>
      </c>
      <c r="X51" s="14">
        <f t="shared" si="22"/>
        <v>6.1727881058271228</v>
      </c>
      <c r="Y51" s="65"/>
      <c r="Z51" s="16"/>
      <c r="AA51" s="28"/>
      <c r="AB51" s="28"/>
      <c r="AC51" s="66"/>
      <c r="AD51" s="9" t="s">
        <v>174</v>
      </c>
      <c r="AE51" s="9" t="s">
        <v>175</v>
      </c>
      <c r="AF51" s="9"/>
      <c r="AG51" s="9"/>
      <c r="AH51" s="9" t="s">
        <v>174</v>
      </c>
      <c r="AI51" s="9" t="s">
        <v>175</v>
      </c>
      <c r="AJ51" s="9"/>
      <c r="AK51" s="9"/>
      <c r="AL51" s="10" t="s">
        <v>174</v>
      </c>
      <c r="AM51" s="10" t="s">
        <v>175</v>
      </c>
      <c r="AN51" s="10"/>
      <c r="AO51" s="10"/>
      <c r="AP51" s="11" t="s">
        <v>174</v>
      </c>
      <c r="AQ51" s="11" t="s">
        <v>175</v>
      </c>
      <c r="AR51" s="11"/>
      <c r="AS51" s="11"/>
      <c r="AT51" s="11" t="s">
        <v>174</v>
      </c>
      <c r="AU51" s="11" t="s">
        <v>175</v>
      </c>
      <c r="AV51" s="11"/>
      <c r="AW51" s="11"/>
      <c r="AX51" s="11" t="s">
        <v>174</v>
      </c>
      <c r="AY51" s="11" t="s">
        <v>175</v>
      </c>
      <c r="AZ51" s="9"/>
      <c r="BA51" s="9"/>
      <c r="BB51" s="9" t="s">
        <v>174</v>
      </c>
      <c r="BC51" s="9" t="s">
        <v>175</v>
      </c>
      <c r="BD51" s="9"/>
      <c r="BE51" s="9"/>
      <c r="BF51" s="9" t="s">
        <v>174</v>
      </c>
      <c r="BG51" s="9" t="s">
        <v>175</v>
      </c>
      <c r="BH51" s="9"/>
      <c r="BI51" s="9"/>
      <c r="BJ51" s="9" t="s">
        <v>174</v>
      </c>
      <c r="BK51" s="9" t="s">
        <v>175</v>
      </c>
      <c r="BL51" s="9"/>
      <c r="BM51" s="9"/>
      <c r="BN51" s="9" t="s">
        <v>174</v>
      </c>
      <c r="BO51" s="9" t="s">
        <v>175</v>
      </c>
      <c r="BP51" s="9"/>
      <c r="BQ51" s="9"/>
      <c r="BR51" s="9" t="s">
        <v>174</v>
      </c>
      <c r="BS51" s="9" t="s">
        <v>175</v>
      </c>
      <c r="BT51" s="9"/>
      <c r="BU51" s="9"/>
      <c r="BV51" s="9" t="s">
        <v>174</v>
      </c>
      <c r="BW51" s="9" t="s">
        <v>175</v>
      </c>
      <c r="BX51" s="9"/>
      <c r="BY51" s="9"/>
    </row>
    <row r="52" spans="1:77" ht="15.6" thickTop="1" thickBot="1" x14ac:dyDescent="0.35">
      <c r="A52" s="67" t="s">
        <v>176</v>
      </c>
      <c r="B52" s="68">
        <v>2016</v>
      </c>
      <c r="C52" s="68">
        <v>91089</v>
      </c>
      <c r="D52" s="68">
        <v>5</v>
      </c>
      <c r="E52" s="14">
        <f t="shared" si="19"/>
        <v>5.489136997881193</v>
      </c>
      <c r="F52" s="14">
        <f t="shared" si="15"/>
        <v>1.7027710478792082</v>
      </c>
      <c r="G52" s="58">
        <v>-3.09E-2</v>
      </c>
      <c r="H52" s="16">
        <f t="shared" si="23"/>
        <v>-3.0427474519126974</v>
      </c>
      <c r="I52" s="17">
        <f>(EXP(-0.37) - 1) * 100</f>
        <v>-30.926566936264532</v>
      </c>
      <c r="J52" s="17">
        <f>(EXP(0.308) - 1) * 100</f>
        <v>36.07009889371502</v>
      </c>
      <c r="K52" s="69">
        <v>0.81289999999999996</v>
      </c>
      <c r="L52" s="68">
        <v>45482</v>
      </c>
      <c r="M52" s="68">
        <v>29</v>
      </c>
      <c r="N52" s="14">
        <f t="shared" si="20"/>
        <v>63.761488061211026</v>
      </c>
      <c r="O52" s="14">
        <f t="shared" si="17"/>
        <v>4.1551493726853277</v>
      </c>
      <c r="P52" s="58">
        <v>-0.1051</v>
      </c>
      <c r="Q52" s="16">
        <f t="shared" si="24"/>
        <v>-9.976550536452045</v>
      </c>
      <c r="R52" s="17">
        <f>(EXP(-0.186) - 1) * 100</f>
        <v>-16.972640501806737</v>
      </c>
      <c r="S52" s="17">
        <f>(EXP(-0.024) - 1) * 100</f>
        <v>-2.3714290242090708</v>
      </c>
      <c r="T52" s="69">
        <v>2.2599999999999999E-2</v>
      </c>
      <c r="U52" s="70">
        <v>21106</v>
      </c>
      <c r="V52" s="68">
        <v>112</v>
      </c>
      <c r="W52" s="14">
        <f t="shared" si="21"/>
        <v>530.65479010707861</v>
      </c>
      <c r="X52" s="14">
        <f t="shared" si="22"/>
        <v>6.2741116970342876</v>
      </c>
      <c r="Y52" s="58">
        <v>-1.9400000000000001E-2</v>
      </c>
      <c r="Z52" s="16">
        <f t="shared" ref="Z52" si="27">(EXP(Y52)-1)*100</f>
        <v>-1.9213031018207039</v>
      </c>
      <c r="AA52" s="17">
        <f>(EXP(-0.131) - 1) * 100</f>
        <v>-12.278222560895646</v>
      </c>
      <c r="AB52" s="17">
        <f>(EXP(0.092) - 1) * 100</f>
        <v>9.6364822080816879</v>
      </c>
      <c r="AC52" s="69">
        <v>0.65390000000000004</v>
      </c>
    </row>
    <row r="53" spans="1:77" ht="15.6" thickTop="1" thickBot="1" x14ac:dyDescent="0.35">
      <c r="A53" s="71"/>
      <c r="B53" s="68">
        <v>2017</v>
      </c>
      <c r="C53" s="68">
        <v>95445</v>
      </c>
      <c r="D53" s="68">
        <v>6</v>
      </c>
      <c r="E53" s="14">
        <f t="shared" si="19"/>
        <v>6.2863429200062857</v>
      </c>
      <c r="F53" s="14">
        <f t="shared" si="15"/>
        <v>1.838379489863281</v>
      </c>
      <c r="G53" s="62"/>
      <c r="H53" s="16"/>
      <c r="I53" s="23"/>
      <c r="J53" s="23"/>
      <c r="K53" s="72"/>
      <c r="L53" s="68">
        <v>48161</v>
      </c>
      <c r="M53" s="68">
        <v>30</v>
      </c>
      <c r="N53" s="14">
        <f t="shared" si="20"/>
        <v>62.291065384854967</v>
      </c>
      <c r="O53" s="14">
        <f t="shared" si="17"/>
        <v>4.1318180027456508</v>
      </c>
      <c r="P53" s="62"/>
      <c r="Q53" s="16"/>
      <c r="R53" s="23"/>
      <c r="S53" s="23"/>
      <c r="T53" s="72"/>
      <c r="U53" s="70">
        <v>22560</v>
      </c>
      <c r="V53" s="68">
        <v>166</v>
      </c>
      <c r="W53" s="14">
        <f t="shared" si="21"/>
        <v>735.81560283687941</v>
      </c>
      <c r="X53" s="14">
        <f t="shared" si="22"/>
        <v>6.6009795477147764</v>
      </c>
      <c r="Y53" s="62"/>
      <c r="Z53" s="16"/>
      <c r="AA53" s="23"/>
      <c r="AB53" s="23"/>
      <c r="AC53" s="72"/>
    </row>
    <row r="54" spans="1:77" ht="15.6" thickTop="1" thickBot="1" x14ac:dyDescent="0.35">
      <c r="A54" s="71"/>
      <c r="B54" s="68">
        <v>2018</v>
      </c>
      <c r="C54" s="68">
        <v>99851</v>
      </c>
      <c r="D54" s="68">
        <v>2</v>
      </c>
      <c r="E54" s="14">
        <f t="shared" si="19"/>
        <v>2.0029844468257707</v>
      </c>
      <c r="F54" s="14">
        <f t="shared" si="15"/>
        <v>0.69463829171382885</v>
      </c>
      <c r="G54" s="62"/>
      <c r="H54" s="16"/>
      <c r="I54" s="23"/>
      <c r="J54" s="23"/>
      <c r="K54" s="72"/>
      <c r="L54" s="68">
        <v>51069</v>
      </c>
      <c r="M54" s="68">
        <v>22</v>
      </c>
      <c r="N54" s="14">
        <f t="shared" si="20"/>
        <v>43.078971587460103</v>
      </c>
      <c r="O54" s="14">
        <f t="shared" si="17"/>
        <v>3.7630349798458642</v>
      </c>
      <c r="P54" s="62"/>
      <c r="Q54" s="16"/>
      <c r="R54" s="23"/>
      <c r="S54" s="23"/>
      <c r="T54" s="72"/>
      <c r="U54" s="70">
        <v>24131</v>
      </c>
      <c r="V54" s="68">
        <v>186</v>
      </c>
      <c r="W54" s="14">
        <f t="shared" si="21"/>
        <v>770.79275620571048</v>
      </c>
      <c r="X54" s="14">
        <f t="shared" si="22"/>
        <v>6.6474195387349084</v>
      </c>
      <c r="Y54" s="62"/>
      <c r="Z54" s="16"/>
      <c r="AA54" s="23"/>
      <c r="AB54" s="23"/>
      <c r="AC54" s="72"/>
    </row>
    <row r="55" spans="1:77" ht="15.6" thickTop="1" thickBot="1" x14ac:dyDescent="0.35">
      <c r="A55" s="71"/>
      <c r="B55" s="68">
        <v>2019</v>
      </c>
      <c r="C55" s="68">
        <v>104383</v>
      </c>
      <c r="D55" s="68">
        <v>6</v>
      </c>
      <c r="E55" s="14">
        <f t="shared" si="19"/>
        <v>5.7480624239579239</v>
      </c>
      <c r="F55" s="14">
        <f t="shared" si="15"/>
        <v>1.7488628282757486</v>
      </c>
      <c r="G55" s="62"/>
      <c r="H55" s="16"/>
      <c r="I55" s="23"/>
      <c r="J55" s="23"/>
      <c r="K55" s="72"/>
      <c r="L55" s="68">
        <v>54223</v>
      </c>
      <c r="M55" s="68">
        <v>23</v>
      </c>
      <c r="N55" s="14">
        <f t="shared" si="20"/>
        <v>42.417424340224628</v>
      </c>
      <c r="O55" s="14">
        <f t="shared" si="17"/>
        <v>3.7475592292408959</v>
      </c>
      <c r="P55" s="62"/>
      <c r="Q55" s="16"/>
      <c r="R55" s="23"/>
      <c r="S55" s="23"/>
      <c r="T55" s="72"/>
      <c r="U55" s="70">
        <v>25731</v>
      </c>
      <c r="V55" s="68">
        <v>155</v>
      </c>
      <c r="W55" s="14">
        <f t="shared" si="21"/>
        <v>602.386226730403</v>
      </c>
      <c r="X55" s="14">
        <f t="shared" si="22"/>
        <v>6.4008988122309436</v>
      </c>
      <c r="Y55" s="62"/>
      <c r="Z55" s="16"/>
      <c r="AA55" s="23"/>
      <c r="AB55" s="23"/>
      <c r="AC55" s="72"/>
    </row>
    <row r="56" spans="1:77" ht="15.6" thickTop="1" thickBot="1" x14ac:dyDescent="0.35">
      <c r="A56" s="71"/>
      <c r="B56" s="68">
        <v>2020</v>
      </c>
      <c r="C56" s="68">
        <v>108951</v>
      </c>
      <c r="D56" s="68">
        <v>7</v>
      </c>
      <c r="E56" s="14">
        <f t="shared" si="19"/>
        <v>6.4249066093932141</v>
      </c>
      <c r="F56" s="14">
        <f t="shared" si="15"/>
        <v>1.8601820951726404</v>
      </c>
      <c r="G56" s="62"/>
      <c r="H56" s="16"/>
      <c r="I56" s="23"/>
      <c r="J56" s="23"/>
      <c r="K56" s="72"/>
      <c r="L56" s="68">
        <v>57509</v>
      </c>
      <c r="M56" s="68">
        <v>22</v>
      </c>
      <c r="N56" s="14">
        <f t="shared" si="20"/>
        <v>38.254881844580851</v>
      </c>
      <c r="O56" s="14">
        <f t="shared" si="17"/>
        <v>3.6442711820522216</v>
      </c>
      <c r="P56" s="62"/>
      <c r="Q56" s="16"/>
      <c r="R56" s="23"/>
      <c r="S56" s="23"/>
      <c r="T56" s="72"/>
      <c r="U56" s="70">
        <v>27211</v>
      </c>
      <c r="V56" s="68">
        <v>162</v>
      </c>
      <c r="W56" s="14">
        <f t="shared" si="21"/>
        <v>595.34746977325347</v>
      </c>
      <c r="X56" s="14">
        <f t="shared" si="22"/>
        <v>6.3891452179062149</v>
      </c>
      <c r="Y56" s="62"/>
      <c r="Z56" s="16"/>
      <c r="AA56" s="23"/>
      <c r="AB56" s="23"/>
      <c r="AC56" s="72"/>
    </row>
    <row r="57" spans="1:77" ht="15.6" thickTop="1" thickBot="1" x14ac:dyDescent="0.35">
      <c r="A57" s="73"/>
      <c r="B57" s="68">
        <v>2021</v>
      </c>
      <c r="C57" s="68">
        <v>113355</v>
      </c>
      <c r="D57" s="68">
        <v>4</v>
      </c>
      <c r="E57" s="14">
        <f t="shared" si="19"/>
        <v>3.5287371531913019</v>
      </c>
      <c r="F57" s="14">
        <f t="shared" si="15"/>
        <v>1.2609400599671892</v>
      </c>
      <c r="G57" s="65"/>
      <c r="H57" s="16"/>
      <c r="I57" s="28"/>
      <c r="J57" s="28"/>
      <c r="K57" s="74"/>
      <c r="L57" s="68">
        <v>60837</v>
      </c>
      <c r="M57" s="68">
        <v>25</v>
      </c>
      <c r="N57" s="14">
        <f t="shared" si="20"/>
        <v>41.093413547676576</v>
      </c>
      <c r="O57" s="14">
        <f t="shared" si="17"/>
        <v>3.7158478543456557</v>
      </c>
      <c r="P57" s="65"/>
      <c r="Q57" s="16"/>
      <c r="R57" s="28"/>
      <c r="S57" s="28"/>
      <c r="T57" s="74"/>
      <c r="U57" s="70">
        <v>28446</v>
      </c>
      <c r="V57" s="68">
        <v>157</v>
      </c>
      <c r="W57" s="14">
        <f t="shared" si="21"/>
        <v>551.92294171412505</v>
      </c>
      <c r="X57" s="14">
        <f t="shared" si="22"/>
        <v>6.3134084381883628</v>
      </c>
      <c r="Y57" s="65"/>
      <c r="Z57" s="16"/>
      <c r="AA57" s="28"/>
      <c r="AB57" s="28"/>
      <c r="AC57" s="74"/>
    </row>
    <row r="59" spans="1:77" x14ac:dyDescent="0.3">
      <c r="F59" s="9"/>
      <c r="P59" s="9"/>
      <c r="Y59" s="9"/>
    </row>
    <row r="60" spans="1:77" ht="15" thickBot="1" x14ac:dyDescent="0.35"/>
    <row r="61" spans="1:77" ht="15" thickBot="1" x14ac:dyDescent="0.35">
      <c r="A61" s="46"/>
      <c r="B61" s="75"/>
      <c r="C61" s="76" t="s">
        <v>269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8"/>
    </row>
    <row r="62" spans="1:77" ht="15" thickBot="1" x14ac:dyDescent="0.35">
      <c r="A62" s="50" t="s">
        <v>0</v>
      </c>
      <c r="B62" s="51"/>
      <c r="C62" s="52" t="s">
        <v>178</v>
      </c>
      <c r="D62" s="53"/>
      <c r="E62" s="53"/>
      <c r="F62" s="53"/>
      <c r="G62" s="53"/>
      <c r="H62" s="53"/>
      <c r="I62" s="53"/>
      <c r="J62" s="53"/>
      <c r="K62" s="54"/>
      <c r="L62" s="52" t="s">
        <v>179</v>
      </c>
      <c r="M62" s="53"/>
      <c r="N62" s="53"/>
      <c r="O62" s="53"/>
      <c r="P62" s="53"/>
      <c r="Q62" s="53"/>
      <c r="R62" s="53"/>
      <c r="S62" s="53"/>
      <c r="T62" s="54"/>
      <c r="U62" s="52" t="s">
        <v>180</v>
      </c>
      <c r="V62" s="53"/>
      <c r="W62" s="53"/>
      <c r="X62" s="53"/>
      <c r="Y62" s="53"/>
      <c r="Z62" s="53"/>
      <c r="AA62" s="53"/>
      <c r="AB62" s="53"/>
      <c r="AC62" s="54"/>
    </row>
    <row r="63" spans="1:77" ht="21" thickBot="1" x14ac:dyDescent="0.35">
      <c r="A63" s="55" t="s">
        <v>16</v>
      </c>
      <c r="B63" s="7" t="s">
        <v>17</v>
      </c>
      <c r="C63" s="7" t="s">
        <v>18</v>
      </c>
      <c r="D63" s="7" t="s">
        <v>19</v>
      </c>
      <c r="E63" s="7" t="s">
        <v>20</v>
      </c>
      <c r="F63" s="6" t="s">
        <v>21</v>
      </c>
      <c r="G63" s="6" t="s">
        <v>22</v>
      </c>
      <c r="H63" s="7" t="s">
        <v>23</v>
      </c>
      <c r="I63" s="7" t="s">
        <v>24</v>
      </c>
      <c r="J63" s="7" t="s">
        <v>25</v>
      </c>
      <c r="K63" s="7" t="s">
        <v>26</v>
      </c>
      <c r="L63" s="7" t="s">
        <v>18</v>
      </c>
      <c r="M63" s="7" t="s">
        <v>19</v>
      </c>
      <c r="N63" s="7" t="s">
        <v>20</v>
      </c>
      <c r="O63" s="6" t="s">
        <v>21</v>
      </c>
      <c r="P63" s="6" t="s">
        <v>270</v>
      </c>
      <c r="Q63" s="7" t="s">
        <v>23</v>
      </c>
      <c r="R63" s="7" t="s">
        <v>24</v>
      </c>
      <c r="S63" s="7" t="s">
        <v>25</v>
      </c>
      <c r="T63" s="7" t="s">
        <v>26</v>
      </c>
      <c r="U63" s="7" t="s">
        <v>18</v>
      </c>
      <c r="V63" s="7" t="s">
        <v>19</v>
      </c>
      <c r="W63" s="7" t="s">
        <v>20</v>
      </c>
      <c r="X63" s="6" t="s">
        <v>21</v>
      </c>
      <c r="Y63" s="6" t="s">
        <v>22</v>
      </c>
      <c r="Z63" s="7" t="s">
        <v>23</v>
      </c>
      <c r="AA63" s="7" t="s">
        <v>24</v>
      </c>
      <c r="AB63" s="7" t="s">
        <v>25</v>
      </c>
      <c r="AC63" s="7" t="s">
        <v>26</v>
      </c>
    </row>
    <row r="64" spans="1:77" ht="15.6" thickTop="1" thickBot="1" x14ac:dyDescent="0.35">
      <c r="A64" s="56" t="s">
        <v>31</v>
      </c>
      <c r="B64" s="57">
        <v>2016</v>
      </c>
      <c r="C64" s="57">
        <v>205806</v>
      </c>
      <c r="D64" s="57">
        <v>4</v>
      </c>
      <c r="E64" s="14">
        <f t="shared" ref="E64:E87" si="28">(D64/C64)*100000</f>
        <v>1.9435779326161529</v>
      </c>
      <c r="F64" s="14">
        <f t="shared" ref="F64:F87" si="29">LN(E64)</f>
        <v>0.66453056961406698</v>
      </c>
      <c r="G64" s="58">
        <v>0.19370000000000001</v>
      </c>
      <c r="H64" s="16">
        <f t="shared" ref="H64" si="30">(EXP(G64)-1)*100</f>
        <v>21.373210870021598</v>
      </c>
      <c r="I64" s="17">
        <f>(EXP(-0.099) - 1) * 100</f>
        <v>-9.4257291976451505</v>
      </c>
      <c r="J64" s="17">
        <f>(EXP(0.486) - 1) * 100</f>
        <v>62.579999621134142</v>
      </c>
      <c r="K64" s="59">
        <v>0.1399</v>
      </c>
      <c r="L64" s="57">
        <v>104516</v>
      </c>
      <c r="M64" s="57">
        <v>50</v>
      </c>
      <c r="N64" s="14">
        <f t="shared" ref="N64:N87" si="31">(M64/L64)*100000</f>
        <v>47.839565234031156</v>
      </c>
      <c r="O64" s="14">
        <f t="shared" ref="O64:O87" si="32">LN(N64)</f>
        <v>3.867853021683672</v>
      </c>
      <c r="P64" s="58">
        <v>4.7100000000000003E-2</v>
      </c>
      <c r="Q64" s="16">
        <f t="shared" ref="Q64" si="33">(EXP(P64)-1)*100</f>
        <v>4.8226826521348354</v>
      </c>
      <c r="R64" s="17">
        <f>(EXP(-0.027) - 1) * 100</f>
        <v>-2.6638758475663216</v>
      </c>
      <c r="S64" s="17">
        <f>(EXP(0.121) - 1) * 100</f>
        <v>12.862491236734396</v>
      </c>
      <c r="T64" s="59">
        <v>0.152</v>
      </c>
      <c r="U64" s="57">
        <v>40502</v>
      </c>
      <c r="V64" s="57">
        <v>117</v>
      </c>
      <c r="W64" s="14">
        <f t="shared" ref="W64:W87" si="34">(V64/U64)*100000</f>
        <v>288.87462347538394</v>
      </c>
      <c r="X64" s="14">
        <f t="shared" ref="X64:X87" si="35">LN(W64)</f>
        <v>5.6659927651765907</v>
      </c>
      <c r="Y64" s="58">
        <v>8.3699999999999997E-2</v>
      </c>
      <c r="Z64" s="16">
        <f t="shared" ref="Z64" si="36">(EXP(Y64)-1)*100</f>
        <v>8.730265407908977</v>
      </c>
      <c r="AA64" s="17">
        <f>(EXP(0.021) - 1) * 100</f>
        <v>2.122205163752855</v>
      </c>
      <c r="AB64" s="17">
        <f>(EXP(0.146) - 1) * 100</f>
        <v>15.719618805079616</v>
      </c>
      <c r="AC64" s="59">
        <v>2.0299999999999999E-2</v>
      </c>
      <c r="AD64" s="4" t="s">
        <v>181</v>
      </c>
      <c r="AE64" s="4"/>
      <c r="AF64" s="4"/>
      <c r="AG64" s="4"/>
      <c r="AH64" s="4" t="s">
        <v>182</v>
      </c>
      <c r="AI64" s="4"/>
      <c r="AJ64" s="4"/>
      <c r="AK64" s="4"/>
      <c r="AL64" s="4" t="s">
        <v>183</v>
      </c>
      <c r="AM64" s="4"/>
      <c r="AN64" s="4"/>
      <c r="AO64" s="4"/>
      <c r="AP64" s="4" t="s">
        <v>184</v>
      </c>
      <c r="AQ64" s="4"/>
      <c r="AR64" s="4"/>
      <c r="AS64" s="4"/>
      <c r="AT64" s="4" t="s">
        <v>185</v>
      </c>
      <c r="AU64" s="4"/>
      <c r="AV64" s="4"/>
      <c r="AW64" s="4"/>
      <c r="AX64" s="4" t="s">
        <v>186</v>
      </c>
      <c r="AY64" s="4"/>
      <c r="AZ64" s="4"/>
      <c r="BA64" s="4"/>
      <c r="BB64" s="4" t="s">
        <v>187</v>
      </c>
      <c r="BC64" s="4"/>
      <c r="BD64" s="4"/>
      <c r="BE64" s="4"/>
      <c r="BF64" s="4" t="s">
        <v>188</v>
      </c>
      <c r="BG64" s="4"/>
      <c r="BH64" s="4"/>
      <c r="BI64" s="4"/>
      <c r="BJ64" s="4" t="s">
        <v>189</v>
      </c>
      <c r="BK64" s="4"/>
      <c r="BL64" s="4"/>
      <c r="BM64" s="4"/>
      <c r="BN64" s="79" t="s">
        <v>190</v>
      </c>
      <c r="BO64" s="4"/>
      <c r="BP64" s="4"/>
      <c r="BQ64" s="4"/>
      <c r="BR64" s="4" t="s">
        <v>191</v>
      </c>
      <c r="BS64" s="4"/>
      <c r="BT64" s="4"/>
      <c r="BU64" s="4"/>
      <c r="BV64" s="4" t="s">
        <v>192</v>
      </c>
      <c r="BW64" s="4"/>
      <c r="BX64" s="4"/>
      <c r="BY64" s="4"/>
    </row>
    <row r="65" spans="1:77" ht="15.6" thickTop="1" thickBot="1" x14ac:dyDescent="0.35">
      <c r="A65" s="61"/>
      <c r="B65" s="57">
        <v>2017</v>
      </c>
      <c r="C65" s="57">
        <v>214869</v>
      </c>
      <c r="D65" s="57">
        <v>10</v>
      </c>
      <c r="E65" s="14">
        <f t="shared" si="28"/>
        <v>4.6539984827964949</v>
      </c>
      <c r="F65" s="14">
        <f t="shared" si="29"/>
        <v>1.5377267388801532</v>
      </c>
      <c r="G65" s="62"/>
      <c r="H65" s="16"/>
      <c r="I65" s="23"/>
      <c r="J65" s="23"/>
      <c r="K65" s="63"/>
      <c r="L65" s="57">
        <v>108626</v>
      </c>
      <c r="M65" s="57">
        <v>55</v>
      </c>
      <c r="N65" s="14">
        <f t="shared" si="31"/>
        <v>50.632445270929608</v>
      </c>
      <c r="O65" s="14">
        <f t="shared" si="32"/>
        <v>3.9245925816934912</v>
      </c>
      <c r="P65" s="62"/>
      <c r="Q65" s="16"/>
      <c r="R65" s="23"/>
      <c r="S65" s="23"/>
      <c r="T65" s="63"/>
      <c r="U65" s="57">
        <v>42766</v>
      </c>
      <c r="V65" s="57">
        <v>139</v>
      </c>
      <c r="W65" s="14">
        <f t="shared" si="34"/>
        <v>325.02455221437589</v>
      </c>
      <c r="X65" s="14">
        <f t="shared" si="35"/>
        <v>5.7839007247513399</v>
      </c>
      <c r="Y65" s="62"/>
      <c r="Z65" s="16"/>
      <c r="AA65" s="23"/>
      <c r="AB65" s="23"/>
      <c r="AC65" s="63"/>
      <c r="AD65" s="9" t="s">
        <v>27</v>
      </c>
      <c r="AE65" s="9" t="s">
        <v>28</v>
      </c>
      <c r="AF65" s="9" t="s">
        <v>29</v>
      </c>
      <c r="AG65" s="9" t="s">
        <v>30</v>
      </c>
      <c r="AH65" s="9" t="s">
        <v>27</v>
      </c>
      <c r="AI65" s="9" t="s">
        <v>28</v>
      </c>
      <c r="AJ65" s="9" t="s">
        <v>29</v>
      </c>
      <c r="AK65" s="9" t="s">
        <v>30</v>
      </c>
      <c r="AL65" s="10" t="s">
        <v>27</v>
      </c>
      <c r="AM65" s="10" t="s">
        <v>28</v>
      </c>
      <c r="AN65" s="10" t="s">
        <v>29</v>
      </c>
      <c r="AO65" s="10" t="s">
        <v>30</v>
      </c>
      <c r="AP65" s="11" t="s">
        <v>27</v>
      </c>
      <c r="AQ65" s="11" t="s">
        <v>28</v>
      </c>
      <c r="AR65" s="11" t="s">
        <v>29</v>
      </c>
      <c r="AS65" s="11" t="s">
        <v>30</v>
      </c>
      <c r="AT65" s="11" t="s">
        <v>27</v>
      </c>
      <c r="AU65" s="11" t="s">
        <v>28</v>
      </c>
      <c r="AV65" s="11" t="s">
        <v>29</v>
      </c>
      <c r="AW65" s="11" t="s">
        <v>30</v>
      </c>
      <c r="AX65" s="11" t="s">
        <v>27</v>
      </c>
      <c r="AY65" s="11" t="s">
        <v>28</v>
      </c>
      <c r="AZ65" s="9" t="s">
        <v>29</v>
      </c>
      <c r="BA65" s="9" t="s">
        <v>30</v>
      </c>
      <c r="BB65" s="9" t="s">
        <v>27</v>
      </c>
      <c r="BC65" s="9" t="s">
        <v>28</v>
      </c>
      <c r="BD65" s="9" t="s">
        <v>29</v>
      </c>
      <c r="BE65" s="9" t="s">
        <v>30</v>
      </c>
      <c r="BF65" s="9" t="s">
        <v>27</v>
      </c>
      <c r="BG65" s="9" t="s">
        <v>28</v>
      </c>
      <c r="BH65" s="9" t="s">
        <v>29</v>
      </c>
      <c r="BI65" s="9" t="s">
        <v>30</v>
      </c>
      <c r="BJ65" s="9" t="s">
        <v>27</v>
      </c>
      <c r="BK65" s="9" t="s">
        <v>28</v>
      </c>
      <c r="BL65" s="9" t="s">
        <v>29</v>
      </c>
      <c r="BM65" s="80" t="s">
        <v>30</v>
      </c>
      <c r="BN65" s="81" t="s">
        <v>27</v>
      </c>
      <c r="BO65" s="82" t="s">
        <v>28</v>
      </c>
      <c r="BP65" s="9" t="s">
        <v>29</v>
      </c>
      <c r="BQ65" s="9" t="s">
        <v>30</v>
      </c>
      <c r="BR65" s="9" t="s">
        <v>27</v>
      </c>
      <c r="BS65" s="9" t="s">
        <v>28</v>
      </c>
      <c r="BT65" s="9" t="s">
        <v>29</v>
      </c>
      <c r="BU65" s="9" t="s">
        <v>30</v>
      </c>
      <c r="BV65" s="9" t="s">
        <v>27</v>
      </c>
      <c r="BW65" s="9" t="s">
        <v>28</v>
      </c>
      <c r="BX65" s="9" t="s">
        <v>29</v>
      </c>
      <c r="BY65" s="9" t="s">
        <v>30</v>
      </c>
    </row>
    <row r="66" spans="1:77" ht="15.6" thickTop="1" thickBot="1" x14ac:dyDescent="0.35">
      <c r="A66" s="61"/>
      <c r="B66" s="57">
        <v>2018</v>
      </c>
      <c r="C66" s="57">
        <v>224267</v>
      </c>
      <c r="D66" s="57">
        <v>16</v>
      </c>
      <c r="E66" s="14">
        <f t="shared" si="28"/>
        <v>7.134353248583162</v>
      </c>
      <c r="F66" s="14">
        <f t="shared" si="29"/>
        <v>1.9649216019125459</v>
      </c>
      <c r="G66" s="62"/>
      <c r="H66" s="16"/>
      <c r="I66" s="23"/>
      <c r="J66" s="23"/>
      <c r="K66" s="63"/>
      <c r="L66" s="57">
        <v>112979</v>
      </c>
      <c r="M66" s="57">
        <v>53</v>
      </c>
      <c r="N66" s="14">
        <f t="shared" si="31"/>
        <v>46.911372910009824</v>
      </c>
      <c r="O66" s="14">
        <f t="shared" si="32"/>
        <v>3.8482601388063613</v>
      </c>
      <c r="P66" s="62"/>
      <c r="Q66" s="16"/>
      <c r="R66" s="23"/>
      <c r="S66" s="23"/>
      <c r="T66" s="63"/>
      <c r="U66" s="57">
        <v>45129</v>
      </c>
      <c r="V66" s="57">
        <v>140</v>
      </c>
      <c r="W66" s="14">
        <f t="shared" si="34"/>
        <v>310.22180859314409</v>
      </c>
      <c r="X66" s="14">
        <f t="shared" si="35"/>
        <v>5.7372875532135996</v>
      </c>
      <c r="Y66" s="62"/>
      <c r="Z66" s="16"/>
      <c r="AA66" s="23"/>
      <c r="AB66" s="23"/>
      <c r="AC66" s="63"/>
      <c r="AD66" s="9" t="s">
        <v>32</v>
      </c>
      <c r="AE66" s="9">
        <v>1</v>
      </c>
      <c r="AF66" s="9">
        <v>0.65669999999999995</v>
      </c>
      <c r="AG66" s="9">
        <v>0.65669999999999995</v>
      </c>
      <c r="AH66" s="9" t="s">
        <v>32</v>
      </c>
      <c r="AI66" s="9">
        <v>1</v>
      </c>
      <c r="AJ66" s="9">
        <v>3.8899999999999997E-2</v>
      </c>
      <c r="AK66" s="9">
        <v>3.8899999999999997E-2</v>
      </c>
      <c r="AL66" s="10" t="s">
        <v>32</v>
      </c>
      <c r="AM66" s="10">
        <v>1</v>
      </c>
      <c r="AN66" s="10">
        <v>0.1226</v>
      </c>
      <c r="AO66" s="10">
        <v>0.1226</v>
      </c>
      <c r="AP66" s="11" t="s">
        <v>32</v>
      </c>
      <c r="AQ66" s="11">
        <v>1</v>
      </c>
      <c r="AR66" s="11">
        <v>5.16E-2</v>
      </c>
      <c r="AS66" s="11">
        <v>5.16E-2</v>
      </c>
      <c r="AT66" s="11" t="s">
        <v>32</v>
      </c>
      <c r="AU66" s="11">
        <v>1</v>
      </c>
      <c r="AV66" s="11">
        <v>1.06E-2</v>
      </c>
      <c r="AW66" s="11">
        <v>1.06E-2</v>
      </c>
      <c r="AX66" s="11" t="s">
        <v>32</v>
      </c>
      <c r="AY66" s="11">
        <v>1</v>
      </c>
      <c r="AZ66" s="9">
        <v>4.53E-2</v>
      </c>
      <c r="BA66" s="9">
        <v>4.53E-2</v>
      </c>
      <c r="BB66" s="9" t="s">
        <v>32</v>
      </c>
      <c r="BC66" s="9">
        <v>1</v>
      </c>
      <c r="BD66" s="9">
        <v>0.65859999999999996</v>
      </c>
      <c r="BE66" s="9">
        <v>0.65859999999999996</v>
      </c>
      <c r="BF66" s="9" t="s">
        <v>32</v>
      </c>
      <c r="BG66" s="9">
        <v>1</v>
      </c>
      <c r="BH66" s="9">
        <v>0.17100000000000001</v>
      </c>
      <c r="BI66" s="9">
        <v>0.17100000000000001</v>
      </c>
      <c r="BJ66" s="9" t="s">
        <v>32</v>
      </c>
      <c r="BK66" s="9">
        <v>1</v>
      </c>
      <c r="BL66" s="9">
        <v>5.9999999999999995E-4</v>
      </c>
      <c r="BM66" s="80">
        <v>5.9999999999999995E-4</v>
      </c>
      <c r="BN66" s="81" t="s">
        <v>32</v>
      </c>
      <c r="BO66" s="82">
        <v>1</v>
      </c>
      <c r="BP66" s="9">
        <v>0.38479999999999998</v>
      </c>
      <c r="BQ66" s="9">
        <v>0.38479999999999998</v>
      </c>
      <c r="BR66" s="9" t="s">
        <v>32</v>
      </c>
      <c r="BS66" s="9">
        <v>1</v>
      </c>
      <c r="BT66" s="9">
        <v>1.37E-2</v>
      </c>
      <c r="BU66" s="9">
        <v>1.37E-2</v>
      </c>
      <c r="BV66" s="9" t="s">
        <v>32</v>
      </c>
      <c r="BW66" s="9">
        <v>1</v>
      </c>
      <c r="BX66" s="9">
        <v>2.9999999999999997E-4</v>
      </c>
      <c r="BY66" s="9">
        <v>2.9999999999999997E-4</v>
      </c>
    </row>
    <row r="67" spans="1:77" ht="15.6" thickTop="1" thickBot="1" x14ac:dyDescent="0.35">
      <c r="A67" s="61"/>
      <c r="B67" s="57">
        <v>2019</v>
      </c>
      <c r="C67" s="57">
        <v>233967</v>
      </c>
      <c r="D67" s="57">
        <v>15</v>
      </c>
      <c r="E67" s="14">
        <f t="shared" si="28"/>
        <v>6.4111605482824503</v>
      </c>
      <c r="F67" s="14">
        <f t="shared" si="29"/>
        <v>1.8580403073186764</v>
      </c>
      <c r="G67" s="62"/>
      <c r="H67" s="16"/>
      <c r="I67" s="23"/>
      <c r="J67" s="23"/>
      <c r="K67" s="63"/>
      <c r="L67" s="57">
        <v>117652</v>
      </c>
      <c r="M67" s="57">
        <v>70</v>
      </c>
      <c r="N67" s="14">
        <f t="shared" si="31"/>
        <v>59.497501104953592</v>
      </c>
      <c r="O67" s="14">
        <f t="shared" si="32"/>
        <v>4.0859343134335591</v>
      </c>
      <c r="P67" s="62"/>
      <c r="Q67" s="16"/>
      <c r="R67" s="23"/>
      <c r="S67" s="23"/>
      <c r="T67" s="63"/>
      <c r="U67" s="57">
        <v>47486</v>
      </c>
      <c r="V67" s="57">
        <v>202</v>
      </c>
      <c r="W67" s="14">
        <f t="shared" si="34"/>
        <v>425.38853556837807</v>
      </c>
      <c r="X67" s="14">
        <f t="shared" si="35"/>
        <v>6.0530029526342455</v>
      </c>
      <c r="Y67" s="62"/>
      <c r="Z67" s="16"/>
      <c r="AA67" s="23"/>
      <c r="AB67" s="23"/>
      <c r="AC67" s="63"/>
      <c r="AD67" s="9" t="s">
        <v>37</v>
      </c>
      <c r="AE67" s="9">
        <v>4</v>
      </c>
      <c r="AF67" s="9">
        <v>0.77800000000000002</v>
      </c>
      <c r="AG67" s="9">
        <v>0.19450000000000001</v>
      </c>
      <c r="AH67" s="9" t="s">
        <v>37</v>
      </c>
      <c r="AI67" s="9">
        <v>4</v>
      </c>
      <c r="AJ67" s="9">
        <v>4.99E-2</v>
      </c>
      <c r="AK67" s="9">
        <v>1.2500000000000001E-2</v>
      </c>
      <c r="AL67" s="10" t="s">
        <v>37</v>
      </c>
      <c r="AM67" s="10">
        <v>4</v>
      </c>
      <c r="AN67" s="10">
        <v>3.5200000000000002E-2</v>
      </c>
      <c r="AO67" s="10">
        <v>8.8000000000000005E-3</v>
      </c>
      <c r="AP67" s="11" t="s">
        <v>37</v>
      </c>
      <c r="AQ67" s="11">
        <v>4</v>
      </c>
      <c r="AR67" s="11">
        <v>0.22900000000000001</v>
      </c>
      <c r="AS67" s="11">
        <v>5.7299999999999997E-2</v>
      </c>
      <c r="AT67" s="11" t="s">
        <v>37</v>
      </c>
      <c r="AU67" s="11">
        <v>4</v>
      </c>
      <c r="AV67" s="11">
        <v>0.4098</v>
      </c>
      <c r="AW67" s="11">
        <v>0.1024</v>
      </c>
      <c r="AX67" s="11" t="s">
        <v>37</v>
      </c>
      <c r="AY67" s="11">
        <v>4</v>
      </c>
      <c r="AZ67" s="9">
        <v>0.21490000000000001</v>
      </c>
      <c r="BA67" s="9">
        <v>5.3699999999999998E-2</v>
      </c>
      <c r="BB67" s="9" t="s">
        <v>37</v>
      </c>
      <c r="BC67" s="9">
        <v>4</v>
      </c>
      <c r="BD67" s="9">
        <v>0.38950000000000001</v>
      </c>
      <c r="BE67" s="9">
        <v>9.74E-2</v>
      </c>
      <c r="BF67" s="9" t="s">
        <v>37</v>
      </c>
      <c r="BG67" s="9">
        <v>4</v>
      </c>
      <c r="BH67" s="9">
        <v>0.22700000000000001</v>
      </c>
      <c r="BI67" s="9">
        <v>5.67E-2</v>
      </c>
      <c r="BJ67" s="9" t="s">
        <v>37</v>
      </c>
      <c r="BK67" s="9">
        <v>4</v>
      </c>
      <c r="BL67" s="9">
        <v>7.3899999999999993E-2</v>
      </c>
      <c r="BM67" s="80">
        <v>1.8499999999999999E-2</v>
      </c>
      <c r="BN67" s="81" t="s">
        <v>37</v>
      </c>
      <c r="BO67" s="82">
        <v>4</v>
      </c>
      <c r="BP67" s="9">
        <v>0.5837</v>
      </c>
      <c r="BQ67" s="9">
        <v>0.1459</v>
      </c>
      <c r="BR67" s="9" t="s">
        <v>37</v>
      </c>
      <c r="BS67" s="9">
        <v>4</v>
      </c>
      <c r="BT67" s="9">
        <v>0.63959999999999995</v>
      </c>
      <c r="BU67" s="9">
        <v>0.15989999999999999</v>
      </c>
      <c r="BV67" s="9" t="s">
        <v>37</v>
      </c>
      <c r="BW67" s="9">
        <v>4</v>
      </c>
      <c r="BX67" s="9">
        <v>5.1999999999999998E-2</v>
      </c>
      <c r="BY67" s="9">
        <v>1.2999999999999999E-2</v>
      </c>
    </row>
    <row r="68" spans="1:77" ht="15.6" thickTop="1" thickBot="1" x14ac:dyDescent="0.35">
      <c r="A68" s="61"/>
      <c r="B68" s="57">
        <v>2020</v>
      </c>
      <c r="C68" s="57">
        <v>243375</v>
      </c>
      <c r="D68" s="57">
        <v>22</v>
      </c>
      <c r="E68" s="14">
        <f t="shared" si="28"/>
        <v>9.0395480225988702</v>
      </c>
      <c r="F68" s="14">
        <f t="shared" si="29"/>
        <v>2.2016091756540437</v>
      </c>
      <c r="G68" s="62"/>
      <c r="H68" s="16"/>
      <c r="I68" s="23"/>
      <c r="J68" s="23"/>
      <c r="K68" s="63"/>
      <c r="L68" s="57">
        <v>122228</v>
      </c>
      <c r="M68" s="57">
        <v>81</v>
      </c>
      <c r="N68" s="14">
        <f t="shared" si="31"/>
        <v>66.269594528258665</v>
      </c>
      <c r="O68" s="14">
        <f t="shared" si="32"/>
        <v>4.1937311876003349</v>
      </c>
      <c r="P68" s="62"/>
      <c r="Q68" s="16"/>
      <c r="R68" s="23"/>
      <c r="S68" s="23"/>
      <c r="T68" s="63"/>
      <c r="U68" s="57">
        <v>49434</v>
      </c>
      <c r="V68" s="57">
        <v>213</v>
      </c>
      <c r="W68" s="14">
        <f t="shared" si="34"/>
        <v>430.87753368127198</v>
      </c>
      <c r="X68" s="14">
        <f t="shared" si="35"/>
        <v>6.0658239051360088</v>
      </c>
      <c r="Y68" s="62"/>
      <c r="Z68" s="16"/>
      <c r="AA68" s="23"/>
      <c r="AB68" s="23"/>
      <c r="AC68" s="63"/>
      <c r="AD68" s="9" t="s">
        <v>46</v>
      </c>
      <c r="AE68" s="9">
        <v>5</v>
      </c>
      <c r="AF68" s="9">
        <v>1.4347000000000001</v>
      </c>
      <c r="AG68" s="9" t="s">
        <v>47</v>
      </c>
      <c r="AH68" s="9" t="s">
        <v>46</v>
      </c>
      <c r="AI68" s="9">
        <v>5</v>
      </c>
      <c r="AJ68" s="9">
        <v>8.8700000000000001E-2</v>
      </c>
      <c r="AK68" s="9" t="s">
        <v>47</v>
      </c>
      <c r="AL68" s="10" t="s">
        <v>46</v>
      </c>
      <c r="AM68" s="10">
        <v>5</v>
      </c>
      <c r="AN68" s="10">
        <v>0.15790000000000001</v>
      </c>
      <c r="AO68" s="10" t="s">
        <v>47</v>
      </c>
      <c r="AP68" s="11" t="s">
        <v>46</v>
      </c>
      <c r="AQ68" s="11">
        <v>5</v>
      </c>
      <c r="AR68" s="11">
        <v>0.28060000000000002</v>
      </c>
      <c r="AS68" s="11" t="s">
        <v>47</v>
      </c>
      <c r="AT68" s="11" t="s">
        <v>46</v>
      </c>
      <c r="AU68" s="11">
        <v>5</v>
      </c>
      <c r="AV68" s="11">
        <v>0.42030000000000001</v>
      </c>
      <c r="AW68" s="11" t="s">
        <v>47</v>
      </c>
      <c r="AX68" s="11" t="s">
        <v>46</v>
      </c>
      <c r="AY68" s="11">
        <v>5</v>
      </c>
      <c r="AZ68" s="9">
        <v>0.26019999999999999</v>
      </c>
      <c r="BA68" s="9" t="s">
        <v>47</v>
      </c>
      <c r="BB68" s="9" t="s">
        <v>46</v>
      </c>
      <c r="BC68" s="9">
        <v>5</v>
      </c>
      <c r="BD68" s="9">
        <v>1.0482</v>
      </c>
      <c r="BE68" s="9" t="s">
        <v>47</v>
      </c>
      <c r="BF68" s="9" t="s">
        <v>46</v>
      </c>
      <c r="BG68" s="9">
        <v>5</v>
      </c>
      <c r="BH68" s="9">
        <v>0.39800000000000002</v>
      </c>
      <c r="BI68" s="9" t="s">
        <v>47</v>
      </c>
      <c r="BJ68" s="9" t="s">
        <v>46</v>
      </c>
      <c r="BK68" s="9">
        <v>5</v>
      </c>
      <c r="BL68" s="9">
        <v>7.4499999999999997E-2</v>
      </c>
      <c r="BM68" s="80" t="s">
        <v>47</v>
      </c>
      <c r="BN68" s="81" t="s">
        <v>46</v>
      </c>
      <c r="BO68" s="82">
        <v>5</v>
      </c>
      <c r="BP68" s="9">
        <v>0.96860000000000002</v>
      </c>
      <c r="BQ68" s="9" t="s">
        <v>47</v>
      </c>
      <c r="BR68" s="9" t="s">
        <v>46</v>
      </c>
      <c r="BS68" s="9">
        <v>5</v>
      </c>
      <c r="BT68" s="9">
        <v>0.65329999999999999</v>
      </c>
      <c r="BU68" s="9" t="s">
        <v>47</v>
      </c>
      <c r="BV68" s="9" t="s">
        <v>46</v>
      </c>
      <c r="BW68" s="9">
        <v>5</v>
      </c>
      <c r="BX68" s="9">
        <v>5.2299999999999999E-2</v>
      </c>
      <c r="BY68" s="9" t="s">
        <v>47</v>
      </c>
    </row>
    <row r="69" spans="1:77" ht="15.6" thickTop="1" thickBot="1" x14ac:dyDescent="0.35">
      <c r="A69" s="64"/>
      <c r="B69" s="57">
        <v>2021</v>
      </c>
      <c r="C69" s="57">
        <v>251767</v>
      </c>
      <c r="D69" s="57">
        <v>13</v>
      </c>
      <c r="E69" s="14">
        <f t="shared" si="28"/>
        <v>5.1635043512453977</v>
      </c>
      <c r="F69" s="14">
        <f t="shared" si="29"/>
        <v>1.6416154868219843</v>
      </c>
      <c r="G69" s="65"/>
      <c r="H69" s="16"/>
      <c r="I69" s="28"/>
      <c r="J69" s="28"/>
      <c r="K69" s="66"/>
      <c r="L69" s="57">
        <v>126195</v>
      </c>
      <c r="M69" s="57">
        <v>68</v>
      </c>
      <c r="N69" s="14">
        <f t="shared" si="31"/>
        <v>53.884860731407734</v>
      </c>
      <c r="O69" s="14">
        <f t="shared" si="32"/>
        <v>3.9868495614933113</v>
      </c>
      <c r="P69" s="65"/>
      <c r="Q69" s="16"/>
      <c r="R69" s="28"/>
      <c r="S69" s="28"/>
      <c r="T69" s="66"/>
      <c r="U69" s="57">
        <v>50685</v>
      </c>
      <c r="V69" s="57">
        <v>209</v>
      </c>
      <c r="W69" s="14">
        <f t="shared" si="34"/>
        <v>412.35079412054841</v>
      </c>
      <c r="X69" s="14">
        <f t="shared" si="35"/>
        <v>6.0218744291185393</v>
      </c>
      <c r="Y69" s="65"/>
      <c r="Z69" s="16"/>
      <c r="AA69" s="28"/>
      <c r="AB69" s="28"/>
      <c r="AC69" s="66"/>
      <c r="AD69" s="9"/>
      <c r="AE69" s="9"/>
      <c r="AF69" s="9"/>
      <c r="AG69" s="9"/>
      <c r="AH69" s="9"/>
      <c r="AI69" s="9"/>
      <c r="AJ69" s="9"/>
      <c r="AK69" s="9"/>
      <c r="AL69" s="10"/>
      <c r="AM69" s="10"/>
      <c r="AN69" s="10"/>
      <c r="AO69" s="10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80"/>
      <c r="BN69" s="81"/>
      <c r="BO69" s="82"/>
      <c r="BP69" s="9"/>
      <c r="BQ69" s="9"/>
      <c r="BR69" s="9"/>
      <c r="BS69" s="9"/>
      <c r="BT69" s="9"/>
      <c r="BU69" s="9"/>
      <c r="BV69" s="9"/>
      <c r="BW69" s="9"/>
      <c r="BX69" s="9"/>
      <c r="BY69" s="9"/>
    </row>
    <row r="70" spans="1:77" ht="15.6" thickTop="1" thickBot="1" x14ac:dyDescent="0.35">
      <c r="A70" s="67" t="s">
        <v>73</v>
      </c>
      <c r="B70" s="68">
        <v>2016</v>
      </c>
      <c r="C70" s="68">
        <v>98981</v>
      </c>
      <c r="D70" s="68">
        <v>7</v>
      </c>
      <c r="E70" s="14">
        <f t="shared" si="28"/>
        <v>7.0720643355795563</v>
      </c>
      <c r="F70" s="14">
        <f t="shared" si="29"/>
        <v>1.9561524225195788</v>
      </c>
      <c r="G70" s="58">
        <v>-5.4300000000000001E-2</v>
      </c>
      <c r="H70" s="16">
        <f t="shared" ref="H70:H82" si="37">(EXP(G70)-1)*100</f>
        <v>-5.2852080499970588</v>
      </c>
      <c r="I70" s="17">
        <f>(EXP(-0.213) - 1) * 100</f>
        <v>-19.184386278351163</v>
      </c>
      <c r="J70" s="17">
        <f>(EXP(0.105) - 1) * 100</f>
        <v>11.071061035570517</v>
      </c>
      <c r="K70" s="69">
        <v>0.39629999999999999</v>
      </c>
      <c r="L70" s="68">
        <v>46780</v>
      </c>
      <c r="M70" s="68">
        <v>31</v>
      </c>
      <c r="N70" s="14">
        <f t="shared" si="31"/>
        <v>66.267635741769993</v>
      </c>
      <c r="O70" s="14">
        <f t="shared" si="32"/>
        <v>4.1937016293172045</v>
      </c>
      <c r="P70" s="58">
        <v>-2.46E-2</v>
      </c>
      <c r="Q70" s="16">
        <f t="shared" ref="Q70:Q82" si="38">(EXP(P70)-1)*100</f>
        <v>-2.4299885971658663</v>
      </c>
      <c r="R70" s="17">
        <f>(EXP(-0.237) - 1) * 100</f>
        <v>-21.100871198239023</v>
      </c>
      <c r="S70" s="17">
        <f>(EXP(0.188) - 1) * 100</f>
        <v>20.683351534960526</v>
      </c>
      <c r="T70" s="69">
        <v>0.76419999999999999</v>
      </c>
      <c r="U70" s="68">
        <v>17394</v>
      </c>
      <c r="V70" s="68">
        <v>48</v>
      </c>
      <c r="W70" s="14">
        <f t="shared" si="34"/>
        <v>275.95722662987237</v>
      </c>
      <c r="X70" s="14">
        <f t="shared" si="35"/>
        <v>5.6202458777284088</v>
      </c>
      <c r="Y70" s="58">
        <v>5.0900000000000001E-2</v>
      </c>
      <c r="Z70" s="16">
        <f t="shared" ref="Z70:Z82" si="39">(EXP(Y70)-1)*100</f>
        <v>5.2217666255314654</v>
      </c>
      <c r="AA70" s="17">
        <f>(EXP(-0.103) - 1) * 100</f>
        <v>-9.7873026518483499</v>
      </c>
      <c r="AB70" s="17">
        <f>(EXP(0.205) - 1) * 100</f>
        <v>22.752506496317771</v>
      </c>
      <c r="AC70" s="69">
        <v>0.41060000000000002</v>
      </c>
      <c r="AD70" s="9" t="s">
        <v>52</v>
      </c>
      <c r="AE70" s="9">
        <v>3.3761000000000001</v>
      </c>
      <c r="AF70" s="9" t="s">
        <v>271</v>
      </c>
      <c r="AG70" s="9"/>
      <c r="AH70" s="9" t="s">
        <v>52</v>
      </c>
      <c r="AI70" s="9">
        <v>3.1202999999999999</v>
      </c>
      <c r="AJ70" s="9" t="s">
        <v>272</v>
      </c>
      <c r="AK70" s="9"/>
      <c r="AL70" s="10" t="s">
        <v>52</v>
      </c>
      <c r="AM70" s="10">
        <v>13.92</v>
      </c>
      <c r="AN70" s="10" t="s">
        <v>273</v>
      </c>
      <c r="AO70" s="10"/>
      <c r="AP70" s="11" t="s">
        <v>52</v>
      </c>
      <c r="AQ70" s="11">
        <v>0.90069999999999995</v>
      </c>
      <c r="AR70" s="11" t="s">
        <v>274</v>
      </c>
      <c r="AS70" s="11"/>
      <c r="AT70" s="11" t="s">
        <v>52</v>
      </c>
      <c r="AU70" s="11">
        <v>0.1031</v>
      </c>
      <c r="AV70" s="11" t="s">
        <v>275</v>
      </c>
      <c r="AW70" s="11"/>
      <c r="AX70" s="11" t="s">
        <v>52</v>
      </c>
      <c r="AY70" s="11">
        <v>0.84230000000000005</v>
      </c>
      <c r="AZ70" s="9" t="s">
        <v>276</v>
      </c>
      <c r="BA70" s="9"/>
      <c r="BB70" s="9" t="s">
        <v>52</v>
      </c>
      <c r="BC70" s="9">
        <v>6.7634999999999996</v>
      </c>
      <c r="BD70" s="9" t="s">
        <v>277</v>
      </c>
      <c r="BE70" s="9"/>
      <c r="BF70" s="9" t="s">
        <v>52</v>
      </c>
      <c r="BG70" s="9">
        <v>3.0139</v>
      </c>
      <c r="BH70" s="9" t="s">
        <v>278</v>
      </c>
      <c r="BI70" s="9"/>
      <c r="BJ70" s="9" t="s">
        <v>52</v>
      </c>
      <c r="BK70" s="9">
        <v>3.4099999999999998E-2</v>
      </c>
      <c r="BL70" s="9" t="s">
        <v>279</v>
      </c>
      <c r="BM70" s="80"/>
      <c r="BN70" s="81" t="s">
        <v>52</v>
      </c>
      <c r="BO70" s="82">
        <v>2.6368</v>
      </c>
      <c r="BP70" s="9" t="s">
        <v>280</v>
      </c>
      <c r="BQ70" s="9"/>
      <c r="BR70" s="9" t="s">
        <v>52</v>
      </c>
      <c r="BS70" s="9">
        <v>8.5800000000000001E-2</v>
      </c>
      <c r="BT70" s="9" t="s">
        <v>281</v>
      </c>
      <c r="BU70" s="9"/>
      <c r="BV70" s="9" t="s">
        <v>52</v>
      </c>
      <c r="BW70" s="9">
        <v>2.47E-2</v>
      </c>
      <c r="BX70" s="9" t="s">
        <v>282</v>
      </c>
      <c r="BY70" s="9"/>
    </row>
    <row r="71" spans="1:77" ht="15.6" thickTop="1" thickBot="1" x14ac:dyDescent="0.35">
      <c r="A71" s="71"/>
      <c r="B71" s="68">
        <v>2017</v>
      </c>
      <c r="C71" s="68">
        <v>103809</v>
      </c>
      <c r="D71" s="68">
        <v>6</v>
      </c>
      <c r="E71" s="14">
        <f t="shared" si="28"/>
        <v>5.7798456781203944</v>
      </c>
      <c r="F71" s="14">
        <f t="shared" si="29"/>
        <v>1.7543769830407248</v>
      </c>
      <c r="G71" s="62"/>
      <c r="H71" s="16"/>
      <c r="I71" s="23"/>
      <c r="J71" s="23"/>
      <c r="K71" s="72"/>
      <c r="L71" s="68">
        <v>48745</v>
      </c>
      <c r="M71" s="68">
        <v>20</v>
      </c>
      <c r="N71" s="14">
        <f t="shared" si="31"/>
        <v>41.029849215304132</v>
      </c>
      <c r="O71" s="14">
        <f t="shared" si="32"/>
        <v>3.7142998314608473</v>
      </c>
      <c r="P71" s="62"/>
      <c r="Q71" s="16"/>
      <c r="R71" s="23"/>
      <c r="S71" s="23"/>
      <c r="T71" s="72"/>
      <c r="U71" s="68">
        <v>18344</v>
      </c>
      <c r="V71" s="68">
        <v>64</v>
      </c>
      <c r="W71" s="14">
        <f t="shared" si="34"/>
        <v>348.88791975577846</v>
      </c>
      <c r="X71" s="14">
        <f t="shared" si="35"/>
        <v>5.8547507237921597</v>
      </c>
      <c r="Y71" s="62"/>
      <c r="Z71" s="16"/>
      <c r="AA71" s="23"/>
      <c r="AB71" s="23"/>
      <c r="AC71" s="72"/>
      <c r="AD71" s="9" t="s">
        <v>69</v>
      </c>
      <c r="AE71" s="9" t="s">
        <v>70</v>
      </c>
      <c r="AF71" s="9"/>
      <c r="AG71" s="9"/>
      <c r="AH71" s="9" t="s">
        <v>69</v>
      </c>
      <c r="AI71" s="9" t="s">
        <v>70</v>
      </c>
      <c r="AJ71" s="9"/>
      <c r="AK71" s="9"/>
      <c r="AL71" s="10" t="s">
        <v>69</v>
      </c>
      <c r="AM71" s="10" t="s">
        <v>70</v>
      </c>
      <c r="AN71" s="10"/>
      <c r="AO71" s="10"/>
      <c r="AP71" s="11" t="s">
        <v>69</v>
      </c>
      <c r="AQ71" s="11" t="s">
        <v>70</v>
      </c>
      <c r="AR71" s="11"/>
      <c r="AS71" s="11"/>
      <c r="AT71" s="11" t="s">
        <v>69</v>
      </c>
      <c r="AU71" s="11" t="s">
        <v>70</v>
      </c>
      <c r="AV71" s="11"/>
      <c r="AW71" s="11"/>
      <c r="AX71" s="11" t="s">
        <v>69</v>
      </c>
      <c r="AY71" s="11" t="s">
        <v>70</v>
      </c>
      <c r="AZ71" s="9"/>
      <c r="BA71" s="9"/>
      <c r="BB71" s="9" t="s">
        <v>69</v>
      </c>
      <c r="BC71" s="9" t="s">
        <v>70</v>
      </c>
      <c r="BD71" s="9"/>
      <c r="BE71" s="9"/>
      <c r="BF71" s="9" t="s">
        <v>69</v>
      </c>
      <c r="BG71" s="9" t="s">
        <v>70</v>
      </c>
      <c r="BH71" s="9"/>
      <c r="BI71" s="9"/>
      <c r="BJ71" s="9" t="s">
        <v>69</v>
      </c>
      <c r="BK71" s="9" t="s">
        <v>70</v>
      </c>
      <c r="BL71" s="9"/>
      <c r="BM71" s="9"/>
      <c r="BN71" s="83" t="s">
        <v>69</v>
      </c>
      <c r="BO71" s="9" t="s">
        <v>70</v>
      </c>
      <c r="BP71" s="9"/>
      <c r="BQ71" s="9"/>
      <c r="BR71" s="9" t="s">
        <v>69</v>
      </c>
      <c r="BS71" s="9" t="s">
        <v>70</v>
      </c>
      <c r="BT71" s="9"/>
      <c r="BU71" s="9"/>
      <c r="BV71" s="9" t="s">
        <v>69</v>
      </c>
      <c r="BW71" s="9" t="s">
        <v>70</v>
      </c>
      <c r="BX71" s="9"/>
      <c r="BY71" s="9"/>
    </row>
    <row r="72" spans="1:77" ht="15.6" thickTop="1" thickBot="1" x14ac:dyDescent="0.35">
      <c r="A72" s="71"/>
      <c r="B72" s="68">
        <v>2018</v>
      </c>
      <c r="C72" s="68">
        <v>108784</v>
      </c>
      <c r="D72" s="68">
        <v>5</v>
      </c>
      <c r="E72" s="14">
        <f t="shared" si="28"/>
        <v>4.5962641564936018</v>
      </c>
      <c r="F72" s="14">
        <f t="shared" si="29"/>
        <v>1.5252438336380878</v>
      </c>
      <c r="G72" s="62"/>
      <c r="H72" s="16"/>
      <c r="I72" s="23"/>
      <c r="J72" s="23"/>
      <c r="K72" s="72"/>
      <c r="L72" s="68">
        <v>50848</v>
      </c>
      <c r="M72" s="68">
        <v>21</v>
      </c>
      <c r="N72" s="14">
        <f t="shared" si="31"/>
        <v>41.29955947136564</v>
      </c>
      <c r="O72" s="14">
        <f t="shared" si="32"/>
        <v>3.7208518333572087</v>
      </c>
      <c r="P72" s="62"/>
      <c r="Q72" s="16"/>
      <c r="R72" s="23"/>
      <c r="S72" s="23"/>
      <c r="T72" s="72"/>
      <c r="U72" s="68">
        <v>19333</v>
      </c>
      <c r="V72" s="68">
        <v>41</v>
      </c>
      <c r="W72" s="14">
        <f t="shared" si="34"/>
        <v>212.0726219417576</v>
      </c>
      <c r="X72" s="14">
        <f t="shared" si="35"/>
        <v>5.3569287723420338</v>
      </c>
      <c r="Y72" s="62"/>
      <c r="Z72" s="16"/>
      <c r="AA72" s="23"/>
      <c r="AB72" s="23"/>
      <c r="AC72" s="72"/>
      <c r="AD72" s="9" t="s">
        <v>74</v>
      </c>
      <c r="AE72" s="9" t="s">
        <v>75</v>
      </c>
      <c r="AF72" s="9"/>
      <c r="AG72" s="9"/>
      <c r="AH72" s="9" t="s">
        <v>74</v>
      </c>
      <c r="AI72" s="9" t="s">
        <v>75</v>
      </c>
      <c r="AJ72" s="9"/>
      <c r="AK72" s="9"/>
      <c r="AL72" s="10" t="s">
        <v>74</v>
      </c>
      <c r="AM72" s="10" t="s">
        <v>75</v>
      </c>
      <c r="AN72" s="10"/>
      <c r="AO72" s="10"/>
      <c r="AP72" s="11" t="s">
        <v>74</v>
      </c>
      <c r="AQ72" s="11" t="s">
        <v>75</v>
      </c>
      <c r="AR72" s="11"/>
      <c r="AS72" s="11"/>
      <c r="AT72" s="11" t="s">
        <v>74</v>
      </c>
      <c r="AU72" s="11" t="s">
        <v>75</v>
      </c>
      <c r="AV72" s="11"/>
      <c r="AW72" s="11"/>
      <c r="AX72" s="11" t="s">
        <v>74</v>
      </c>
      <c r="AY72" s="11" t="s">
        <v>75</v>
      </c>
      <c r="AZ72" s="9"/>
      <c r="BA72" s="9"/>
      <c r="BB72" s="9" t="s">
        <v>74</v>
      </c>
      <c r="BC72" s="9" t="s">
        <v>75</v>
      </c>
      <c r="BD72" s="9"/>
      <c r="BE72" s="9"/>
      <c r="BF72" s="9" t="s">
        <v>74</v>
      </c>
      <c r="BG72" s="9" t="s">
        <v>75</v>
      </c>
      <c r="BH72" s="9"/>
      <c r="BI72" s="9"/>
      <c r="BJ72" s="9" t="s">
        <v>74</v>
      </c>
      <c r="BK72" s="9" t="s">
        <v>75</v>
      </c>
      <c r="BL72" s="9"/>
      <c r="BM72" s="9"/>
      <c r="BN72" s="9" t="s">
        <v>74</v>
      </c>
      <c r="BO72" s="9" t="s">
        <v>75</v>
      </c>
      <c r="BP72" s="9"/>
      <c r="BQ72" s="9"/>
      <c r="BR72" s="9" t="s">
        <v>74</v>
      </c>
      <c r="BS72" s="9" t="s">
        <v>75</v>
      </c>
      <c r="BT72" s="9"/>
      <c r="BU72" s="9"/>
      <c r="BV72" s="9" t="s">
        <v>74</v>
      </c>
      <c r="BW72" s="9" t="s">
        <v>75</v>
      </c>
      <c r="BX72" s="9"/>
      <c r="BY72" s="9"/>
    </row>
    <row r="73" spans="1:77" ht="15.6" thickTop="1" thickBot="1" x14ac:dyDescent="0.35">
      <c r="A73" s="71"/>
      <c r="B73" s="68">
        <v>2019</v>
      </c>
      <c r="C73" s="68">
        <v>113891</v>
      </c>
      <c r="D73" s="68">
        <v>8</v>
      </c>
      <c r="E73" s="14">
        <f t="shared" si="28"/>
        <v>7.0242600381066103</v>
      </c>
      <c r="F73" s="14">
        <f t="shared" si="29"/>
        <v>1.9493698770180725</v>
      </c>
      <c r="G73" s="62"/>
      <c r="H73" s="16"/>
      <c r="I73" s="23"/>
      <c r="J73" s="23"/>
      <c r="K73" s="72"/>
      <c r="L73" s="68">
        <v>53176</v>
      </c>
      <c r="M73" s="68">
        <v>32</v>
      </c>
      <c r="N73" s="14">
        <f t="shared" si="31"/>
        <v>60.177523694899953</v>
      </c>
      <c r="O73" s="14">
        <f t="shared" si="32"/>
        <v>4.0972989220485374</v>
      </c>
      <c r="P73" s="62"/>
      <c r="Q73" s="16"/>
      <c r="R73" s="23"/>
      <c r="S73" s="23"/>
      <c r="T73" s="72"/>
      <c r="U73" s="68">
        <v>20344</v>
      </c>
      <c r="V73" s="68">
        <v>67</v>
      </c>
      <c r="W73" s="14">
        <f t="shared" si="34"/>
        <v>329.3354305937869</v>
      </c>
      <c r="X73" s="14">
        <f t="shared" si="35"/>
        <v>5.7970767772592389</v>
      </c>
      <c r="Y73" s="62"/>
      <c r="Z73" s="16"/>
      <c r="AA73" s="23"/>
      <c r="AB73" s="23"/>
      <c r="AC73" s="72"/>
      <c r="AD73" s="9" t="s">
        <v>76</v>
      </c>
      <c r="AE73" s="9">
        <v>3.5</v>
      </c>
      <c r="AF73" s="9"/>
      <c r="AG73" s="9"/>
      <c r="AH73" s="9" t="s">
        <v>76</v>
      </c>
      <c r="AI73" s="9">
        <v>3.5</v>
      </c>
      <c r="AJ73" s="9"/>
      <c r="AK73" s="9"/>
      <c r="AL73" s="10" t="s">
        <v>76</v>
      </c>
      <c r="AM73" s="10">
        <v>3.5</v>
      </c>
      <c r="AN73" s="10"/>
      <c r="AO73" s="10"/>
      <c r="AP73" s="11" t="s">
        <v>76</v>
      </c>
      <c r="AQ73" s="11">
        <v>3.5</v>
      </c>
      <c r="AR73" s="11"/>
      <c r="AS73" s="11"/>
      <c r="AT73" s="11" t="s">
        <v>76</v>
      </c>
      <c r="AU73" s="11">
        <v>3.5</v>
      </c>
      <c r="AV73" s="11"/>
      <c r="AW73" s="11"/>
      <c r="AX73" s="11" t="s">
        <v>76</v>
      </c>
      <c r="AY73" s="11">
        <v>3.5</v>
      </c>
      <c r="AZ73" s="9"/>
      <c r="BA73" s="9"/>
      <c r="BB73" s="9" t="s">
        <v>76</v>
      </c>
      <c r="BC73" s="9">
        <v>3.5</v>
      </c>
      <c r="BD73" s="9"/>
      <c r="BE73" s="9"/>
      <c r="BF73" s="9" t="s">
        <v>76</v>
      </c>
      <c r="BG73" s="9">
        <v>3.5</v>
      </c>
      <c r="BH73" s="9"/>
      <c r="BI73" s="9"/>
      <c r="BJ73" s="9" t="s">
        <v>76</v>
      </c>
      <c r="BK73" s="9">
        <v>3.5</v>
      </c>
      <c r="BL73" s="9"/>
      <c r="BM73" s="9"/>
      <c r="BN73" s="9" t="s">
        <v>76</v>
      </c>
      <c r="BO73" s="9">
        <v>3.5</v>
      </c>
      <c r="BP73" s="9"/>
      <c r="BQ73" s="9"/>
      <c r="BR73" s="9" t="s">
        <v>76</v>
      </c>
      <c r="BS73" s="9">
        <v>3.5</v>
      </c>
      <c r="BT73" s="9"/>
      <c r="BU73" s="9"/>
      <c r="BV73" s="9" t="s">
        <v>76</v>
      </c>
      <c r="BW73" s="9">
        <v>3.5</v>
      </c>
      <c r="BX73" s="9"/>
      <c r="BY73" s="9"/>
    </row>
    <row r="74" spans="1:77" ht="15.6" thickTop="1" thickBot="1" x14ac:dyDescent="0.35">
      <c r="A74" s="71"/>
      <c r="B74" s="68">
        <v>2020</v>
      </c>
      <c r="C74" s="68">
        <v>118812</v>
      </c>
      <c r="D74" s="68">
        <v>8</v>
      </c>
      <c r="E74" s="14">
        <f t="shared" si="28"/>
        <v>6.733326600006734</v>
      </c>
      <c r="F74" s="14">
        <f t="shared" si="29"/>
        <v>1.9070693157395495</v>
      </c>
      <c r="G74" s="62"/>
      <c r="H74" s="16"/>
      <c r="I74" s="23"/>
      <c r="J74" s="23"/>
      <c r="K74" s="72"/>
      <c r="L74" s="68">
        <v>55454</v>
      </c>
      <c r="M74" s="68">
        <v>40</v>
      </c>
      <c r="N74" s="14">
        <f t="shared" si="31"/>
        <v>72.131857034659362</v>
      </c>
      <c r="O74" s="14">
        <f t="shared" si="32"/>
        <v>4.2784957918469892</v>
      </c>
      <c r="P74" s="62"/>
      <c r="Q74" s="16"/>
      <c r="R74" s="23"/>
      <c r="S74" s="23"/>
      <c r="T74" s="72"/>
      <c r="U74" s="68">
        <v>21159</v>
      </c>
      <c r="V74" s="68">
        <v>88</v>
      </c>
      <c r="W74" s="14">
        <f t="shared" si="34"/>
        <v>415.89867195992247</v>
      </c>
      <c r="X74" s="14">
        <f t="shared" si="35"/>
        <v>6.0304416535721463</v>
      </c>
      <c r="Y74" s="62"/>
      <c r="Z74" s="16"/>
      <c r="AA74" s="23"/>
      <c r="AB74" s="23"/>
      <c r="AC74" s="72"/>
      <c r="AD74" s="9" t="s">
        <v>78</v>
      </c>
      <c r="AE74" s="9">
        <v>1.6433</v>
      </c>
      <c r="AF74" s="9"/>
      <c r="AG74" s="9"/>
      <c r="AH74" s="9" t="s">
        <v>78</v>
      </c>
      <c r="AI74" s="9">
        <v>3.9849999999999999</v>
      </c>
      <c r="AJ74" s="9"/>
      <c r="AK74" s="9"/>
      <c r="AL74" s="10" t="s">
        <v>78</v>
      </c>
      <c r="AM74" s="10">
        <v>5.8883000000000001</v>
      </c>
      <c r="AN74" s="10"/>
      <c r="AO74" s="10"/>
      <c r="AP74" s="11" t="s">
        <v>78</v>
      </c>
      <c r="AQ74" s="11">
        <v>1.75</v>
      </c>
      <c r="AR74" s="11"/>
      <c r="AS74" s="11"/>
      <c r="AT74" s="11" t="s">
        <v>78</v>
      </c>
      <c r="AU74" s="11">
        <v>3.9333</v>
      </c>
      <c r="AV74" s="11"/>
      <c r="AW74" s="11"/>
      <c r="AX74" s="11" t="s">
        <v>78</v>
      </c>
      <c r="AY74" s="11">
        <v>5.74</v>
      </c>
      <c r="AZ74" s="9"/>
      <c r="BA74" s="9"/>
      <c r="BB74" s="9" t="s">
        <v>78</v>
      </c>
      <c r="BC74" s="9">
        <v>1.4950000000000001</v>
      </c>
      <c r="BD74" s="9"/>
      <c r="BE74" s="9"/>
      <c r="BF74" s="9" t="s">
        <v>78</v>
      </c>
      <c r="BG74" s="9">
        <v>3.89</v>
      </c>
      <c r="BH74" s="9"/>
      <c r="BI74" s="9"/>
      <c r="BJ74" s="9" t="s">
        <v>78</v>
      </c>
      <c r="BK74" s="9">
        <v>5.8982999999999999</v>
      </c>
      <c r="BL74" s="9"/>
      <c r="BM74" s="9"/>
      <c r="BN74" s="9" t="s">
        <v>78</v>
      </c>
      <c r="BO74" s="9">
        <v>1.5149999999999999</v>
      </c>
      <c r="BP74" s="9"/>
      <c r="BQ74" s="9"/>
      <c r="BR74" s="9" t="s">
        <v>78</v>
      </c>
      <c r="BS74" s="9">
        <v>4.0632999999999999</v>
      </c>
      <c r="BT74" s="9"/>
      <c r="BU74" s="9"/>
      <c r="BV74" s="9" t="s">
        <v>78</v>
      </c>
      <c r="BW74" s="9">
        <v>6.2816999999999998</v>
      </c>
      <c r="BX74" s="9"/>
      <c r="BY74" s="9"/>
    </row>
    <row r="75" spans="1:77" ht="15.6" thickTop="1" thickBot="1" x14ac:dyDescent="0.35">
      <c r="A75" s="73"/>
      <c r="B75" s="68">
        <v>2021</v>
      </c>
      <c r="C75" s="68">
        <v>123250</v>
      </c>
      <c r="D75" s="68">
        <v>5</v>
      </c>
      <c r="E75" s="14">
        <f t="shared" si="28"/>
        <v>4.056795131845842</v>
      </c>
      <c r="F75" s="14">
        <f t="shared" si="29"/>
        <v>1.4003932854993923</v>
      </c>
      <c r="G75" s="65"/>
      <c r="H75" s="16"/>
      <c r="I75" s="28"/>
      <c r="J75" s="28"/>
      <c r="K75" s="74"/>
      <c r="L75" s="68">
        <v>57497</v>
      </c>
      <c r="M75" s="68">
        <v>21</v>
      </c>
      <c r="N75" s="14">
        <f t="shared" si="31"/>
        <v>36.523644711898015</v>
      </c>
      <c r="O75" s="14">
        <f t="shared" si="32"/>
        <v>3.5979598511823592</v>
      </c>
      <c r="P75" s="65"/>
      <c r="Q75" s="16"/>
      <c r="R75" s="28"/>
      <c r="S75" s="28"/>
      <c r="T75" s="74"/>
      <c r="U75" s="68">
        <v>21671</v>
      </c>
      <c r="V75" s="68">
        <v>70</v>
      </c>
      <c r="W75" s="14">
        <f t="shared" si="34"/>
        <v>323.01232061280052</v>
      </c>
      <c r="X75" s="14">
        <f t="shared" si="35"/>
        <v>5.7776904668072566</v>
      </c>
      <c r="Y75" s="65"/>
      <c r="Z75" s="16"/>
      <c r="AA75" s="28"/>
      <c r="AB75" s="28"/>
      <c r="AC75" s="74"/>
      <c r="AD75" s="9" t="s">
        <v>83</v>
      </c>
      <c r="AE75" s="9">
        <v>0.4577</v>
      </c>
      <c r="AF75" s="9"/>
      <c r="AG75" s="9"/>
      <c r="AH75" s="9" t="s">
        <v>83</v>
      </c>
      <c r="AI75" s="9">
        <v>0.43819999999999998</v>
      </c>
      <c r="AJ75" s="9"/>
      <c r="AK75" s="9"/>
      <c r="AL75" s="10" t="s">
        <v>83</v>
      </c>
      <c r="AM75" s="10">
        <v>0.77680000000000005</v>
      </c>
      <c r="AN75" s="10"/>
      <c r="AO75" s="10"/>
      <c r="AP75" s="11" t="s">
        <v>83</v>
      </c>
      <c r="AQ75" s="11">
        <v>0.18379999999999999</v>
      </c>
      <c r="AR75" s="11"/>
      <c r="AS75" s="11"/>
      <c r="AT75" s="11" t="s">
        <v>83</v>
      </c>
      <c r="AU75" s="11">
        <v>2.5100000000000001E-2</v>
      </c>
      <c r="AV75" s="11"/>
      <c r="AW75" s="11"/>
      <c r="AX75" s="11" t="s">
        <v>83</v>
      </c>
      <c r="AY75" s="11">
        <v>0.17399999999999999</v>
      </c>
      <c r="AZ75" s="9"/>
      <c r="BA75" s="9"/>
      <c r="BB75" s="9" t="s">
        <v>83</v>
      </c>
      <c r="BC75" s="9">
        <v>0.62839999999999996</v>
      </c>
      <c r="BD75" s="9"/>
      <c r="BE75" s="9"/>
      <c r="BF75" s="9" t="s">
        <v>83</v>
      </c>
      <c r="BG75" s="9">
        <v>0.42970000000000003</v>
      </c>
      <c r="BH75" s="9"/>
      <c r="BI75" s="9"/>
      <c r="BJ75" s="9" t="s">
        <v>83</v>
      </c>
      <c r="BK75" s="9">
        <v>8.5000000000000006E-3</v>
      </c>
      <c r="BL75" s="9"/>
      <c r="BM75" s="9"/>
      <c r="BN75" s="9" t="s">
        <v>83</v>
      </c>
      <c r="BO75" s="9">
        <v>0.39729999999999999</v>
      </c>
      <c r="BP75" s="9"/>
      <c r="BQ75" s="9"/>
      <c r="BR75" s="9" t="s">
        <v>83</v>
      </c>
      <c r="BS75" s="9">
        <v>2.1000000000000001E-2</v>
      </c>
      <c r="BT75" s="9"/>
      <c r="BU75" s="9"/>
      <c r="BV75" s="9" t="s">
        <v>83</v>
      </c>
      <c r="BW75" s="9">
        <v>6.1000000000000004E-3</v>
      </c>
      <c r="BX75" s="9"/>
      <c r="BY75" s="9"/>
    </row>
    <row r="76" spans="1:77" ht="15.6" thickTop="1" thickBot="1" x14ac:dyDescent="0.35">
      <c r="A76" s="56" t="s">
        <v>99</v>
      </c>
      <c r="B76" s="57">
        <v>2016</v>
      </c>
      <c r="C76" s="57">
        <v>84752</v>
      </c>
      <c r="D76" s="57">
        <v>2</v>
      </c>
      <c r="E76" s="14">
        <f t="shared" si="28"/>
        <v>2.3598263167830846</v>
      </c>
      <c r="F76" s="14">
        <f t="shared" si="29"/>
        <v>0.85858802174586579</v>
      </c>
      <c r="G76" s="84">
        <v>0.19400000000000001</v>
      </c>
      <c r="H76" s="16">
        <f t="shared" si="37"/>
        <v>21.409628295623317</v>
      </c>
      <c r="I76" s="17">
        <f>(EXP(-0.013) - 1) * 100</f>
        <v>-1.2915864979712421</v>
      </c>
      <c r="J76" s="17">
        <f>(EXP(0.401) - 1) * 100</f>
        <v>49.331726849996002</v>
      </c>
      <c r="K76" s="59">
        <v>0.06</v>
      </c>
      <c r="L76" s="57">
        <v>43431</v>
      </c>
      <c r="M76" s="57">
        <v>19</v>
      </c>
      <c r="N76" s="14">
        <f t="shared" si="31"/>
        <v>43.747553590753149</v>
      </c>
      <c r="O76" s="14">
        <f t="shared" si="32"/>
        <v>3.7784356933145156</v>
      </c>
      <c r="P76" s="58">
        <v>9.8900000000000002E-2</v>
      </c>
      <c r="Q76" s="16">
        <f t="shared" si="38"/>
        <v>10.395589844907359</v>
      </c>
      <c r="R76" s="17">
        <f>(EXP(-0.059) - 1) * 100</f>
        <v>-5.7293230842900282</v>
      </c>
      <c r="S76" s="17">
        <f>(EXP(0.257) - 1) * 100</f>
        <v>29.304512675935367</v>
      </c>
      <c r="T76" s="59">
        <v>0.1575</v>
      </c>
      <c r="U76" s="57">
        <v>18099</v>
      </c>
      <c r="V76" s="57">
        <v>61</v>
      </c>
      <c r="W76" s="14">
        <f t="shared" si="34"/>
        <v>337.03519531465827</v>
      </c>
      <c r="X76" s="14">
        <f t="shared" si="35"/>
        <v>5.8201873620346678</v>
      </c>
      <c r="Y76" s="58">
        <v>-6.0000000000000001E-3</v>
      </c>
      <c r="Z76" s="16">
        <f t="shared" si="39"/>
        <v>-0.59820359460647232</v>
      </c>
      <c r="AA76" s="17">
        <f>(EXP(-0.096) - 1) * 100</f>
        <v>-9.1535983931293803</v>
      </c>
      <c r="AB76" s="17">
        <f>(EXP(0.084) - 1) * 100</f>
        <v>8.7628893808826103</v>
      </c>
      <c r="AC76" s="59">
        <v>0.86240000000000006</v>
      </c>
      <c r="AD76" s="9" t="s">
        <v>89</v>
      </c>
      <c r="AE76" s="9">
        <v>0.3221</v>
      </c>
      <c r="AF76" s="9"/>
      <c r="AG76" s="9"/>
      <c r="AH76" s="9" t="s">
        <v>89</v>
      </c>
      <c r="AI76" s="9">
        <v>0.29780000000000001</v>
      </c>
      <c r="AJ76" s="9"/>
      <c r="AK76" s="9"/>
      <c r="AL76" s="10" t="s">
        <v>89</v>
      </c>
      <c r="AM76" s="10">
        <v>0.72099999999999997</v>
      </c>
      <c r="AN76" s="10"/>
      <c r="AO76" s="10"/>
      <c r="AP76" s="11" t="s">
        <v>89</v>
      </c>
      <c r="AQ76" s="11">
        <v>-2.0299999999999999E-2</v>
      </c>
      <c r="AR76" s="11"/>
      <c r="AS76" s="11"/>
      <c r="AT76" s="11" t="s">
        <v>89</v>
      </c>
      <c r="AU76" s="11">
        <v>-0.21859999999999999</v>
      </c>
      <c r="AV76" s="11"/>
      <c r="AW76" s="11"/>
      <c r="AX76" s="11" t="s">
        <v>89</v>
      </c>
      <c r="AY76" s="11">
        <v>-3.2599999999999997E-2</v>
      </c>
      <c r="AZ76" s="9"/>
      <c r="BA76" s="9"/>
      <c r="BB76" s="9" t="s">
        <v>89</v>
      </c>
      <c r="BC76" s="9">
        <v>0.53549999999999998</v>
      </c>
      <c r="BD76" s="9"/>
      <c r="BE76" s="9"/>
      <c r="BF76" s="9" t="s">
        <v>89</v>
      </c>
      <c r="BG76" s="9">
        <v>0.28710000000000002</v>
      </c>
      <c r="BH76" s="9"/>
      <c r="BI76" s="9"/>
      <c r="BJ76" s="9" t="s">
        <v>89</v>
      </c>
      <c r="BK76" s="9">
        <v>-0.2394</v>
      </c>
      <c r="BL76" s="9"/>
      <c r="BM76" s="9"/>
      <c r="BN76" s="9" t="s">
        <v>89</v>
      </c>
      <c r="BO76" s="9">
        <v>0.24660000000000001</v>
      </c>
      <c r="BP76" s="9"/>
      <c r="BQ76" s="9"/>
      <c r="BR76" s="9" t="s">
        <v>89</v>
      </c>
      <c r="BS76" s="9">
        <v>-0.2238</v>
      </c>
      <c r="BT76" s="9"/>
      <c r="BU76" s="9"/>
      <c r="BV76" s="9" t="s">
        <v>89</v>
      </c>
      <c r="BW76" s="9">
        <v>-0.24229999999999999</v>
      </c>
      <c r="BX76" s="9"/>
      <c r="BY76" s="9"/>
    </row>
    <row r="77" spans="1:77" ht="15.6" thickTop="1" thickBot="1" x14ac:dyDescent="0.35">
      <c r="A77" s="61"/>
      <c r="B77" s="57">
        <v>2017</v>
      </c>
      <c r="C77" s="57">
        <v>88189</v>
      </c>
      <c r="D77" s="57">
        <v>4</v>
      </c>
      <c r="E77" s="14">
        <f t="shared" si="28"/>
        <v>4.5357130707911422</v>
      </c>
      <c r="F77" s="14">
        <f t="shared" si="29"/>
        <v>1.5119823084262805</v>
      </c>
      <c r="G77" s="85"/>
      <c r="H77" s="16"/>
      <c r="I77" s="23"/>
      <c r="J77" s="23"/>
      <c r="K77" s="63"/>
      <c r="L77" s="57">
        <v>44779</v>
      </c>
      <c r="M77" s="57">
        <v>19</v>
      </c>
      <c r="N77" s="14">
        <f t="shared" si="31"/>
        <v>42.430603631166399</v>
      </c>
      <c r="O77" s="14">
        <f t="shared" si="32"/>
        <v>3.7478698856312183</v>
      </c>
      <c r="P77" s="62"/>
      <c r="Q77" s="16"/>
      <c r="R77" s="23"/>
      <c r="S77" s="23"/>
      <c r="T77" s="63"/>
      <c r="U77" s="57">
        <v>18859</v>
      </c>
      <c r="V77" s="57">
        <v>84</v>
      </c>
      <c r="W77" s="14">
        <f t="shared" si="34"/>
        <v>445.41067925128584</v>
      </c>
      <c r="X77" s="14">
        <f t="shared" si="35"/>
        <v>6.0989967313011766</v>
      </c>
      <c r="Y77" s="62"/>
      <c r="Z77" s="16"/>
      <c r="AA77" s="23"/>
      <c r="AB77" s="23"/>
      <c r="AC77" s="63"/>
      <c r="AD77" s="9" t="s">
        <v>94</v>
      </c>
      <c r="AE77" s="9">
        <v>0.67649999999999999</v>
      </c>
      <c r="AF77" s="9"/>
      <c r="AG77" s="9"/>
      <c r="AH77" s="9" t="s">
        <v>94</v>
      </c>
      <c r="AI77" s="9">
        <v>0.66200000000000003</v>
      </c>
      <c r="AJ77" s="9"/>
      <c r="AK77" s="9"/>
      <c r="AL77" s="10" t="s">
        <v>94</v>
      </c>
      <c r="AM77" s="10">
        <v>0.88139999999999996</v>
      </c>
      <c r="AN77" s="10"/>
      <c r="AO77" s="10"/>
      <c r="AP77" s="11" t="s">
        <v>94</v>
      </c>
      <c r="AQ77" s="11">
        <v>0.42870000000000003</v>
      </c>
      <c r="AR77" s="11"/>
      <c r="AS77" s="11"/>
      <c r="AT77" s="11" t="s">
        <v>94</v>
      </c>
      <c r="AU77" s="11">
        <v>0.1585</v>
      </c>
      <c r="AV77" s="11"/>
      <c r="AW77" s="11"/>
      <c r="AX77" s="11" t="s">
        <v>94</v>
      </c>
      <c r="AY77" s="11">
        <v>0.41710000000000003</v>
      </c>
      <c r="AZ77" s="9"/>
      <c r="BA77" s="9"/>
      <c r="BB77" s="9" t="s">
        <v>94</v>
      </c>
      <c r="BC77" s="9">
        <v>0.79269999999999996</v>
      </c>
      <c r="BD77" s="9"/>
      <c r="BE77" s="9"/>
      <c r="BF77" s="9" t="s">
        <v>94</v>
      </c>
      <c r="BG77" s="9">
        <v>0.65549999999999997</v>
      </c>
      <c r="BH77" s="9"/>
      <c r="BI77" s="9"/>
      <c r="BJ77" s="9" t="s">
        <v>94</v>
      </c>
      <c r="BK77" s="9">
        <v>9.1999999999999998E-2</v>
      </c>
      <c r="BL77" s="9"/>
      <c r="BM77" s="9"/>
      <c r="BN77" s="9" t="s">
        <v>94</v>
      </c>
      <c r="BO77" s="9">
        <v>0.63029999999999997</v>
      </c>
      <c r="BP77" s="9"/>
      <c r="BQ77" s="9"/>
      <c r="BR77" s="9" t="s">
        <v>94</v>
      </c>
      <c r="BS77" s="9">
        <v>0.1449</v>
      </c>
      <c r="BT77" s="9"/>
      <c r="BU77" s="9"/>
      <c r="BV77" s="9" t="s">
        <v>94</v>
      </c>
      <c r="BW77" s="9">
        <v>7.8399999999999997E-2</v>
      </c>
      <c r="BX77" s="9"/>
      <c r="BY77" s="9"/>
    </row>
    <row r="78" spans="1:77" ht="15.6" thickTop="1" thickBot="1" x14ac:dyDescent="0.35">
      <c r="A78" s="61"/>
      <c r="B78" s="57">
        <v>2018</v>
      </c>
      <c r="C78" s="57">
        <v>91678</v>
      </c>
      <c r="D78" s="57">
        <v>4</v>
      </c>
      <c r="E78" s="14">
        <f t="shared" si="28"/>
        <v>4.3630969261982155</v>
      </c>
      <c r="F78" s="14">
        <f t="shared" si="29"/>
        <v>1.4731821093882294</v>
      </c>
      <c r="G78" s="85"/>
      <c r="H78" s="16"/>
      <c r="I78" s="23"/>
      <c r="J78" s="23"/>
      <c r="K78" s="63"/>
      <c r="L78" s="57">
        <v>46258</v>
      </c>
      <c r="M78" s="57">
        <v>16</v>
      </c>
      <c r="N78" s="14">
        <f t="shared" si="31"/>
        <v>34.588611699597912</v>
      </c>
      <c r="O78" s="14">
        <f t="shared" si="32"/>
        <v>3.5435244862545652</v>
      </c>
      <c r="P78" s="62"/>
      <c r="Q78" s="16"/>
      <c r="R78" s="23"/>
      <c r="S78" s="23"/>
      <c r="T78" s="63"/>
      <c r="U78" s="57">
        <v>19662</v>
      </c>
      <c r="V78" s="57">
        <v>66</v>
      </c>
      <c r="W78" s="14">
        <f t="shared" si="34"/>
        <v>335.67287152883733</v>
      </c>
      <c r="X78" s="14">
        <f t="shared" si="35"/>
        <v>5.8161370890697839</v>
      </c>
      <c r="Y78" s="62"/>
      <c r="Z78" s="16"/>
      <c r="AA78" s="23"/>
      <c r="AB78" s="23"/>
      <c r="AC78" s="63"/>
      <c r="AD78" s="9" t="s">
        <v>100</v>
      </c>
      <c r="AE78" s="9">
        <v>0.96530000000000005</v>
      </c>
      <c r="AF78" s="9" t="s">
        <v>283</v>
      </c>
      <c r="AG78" s="9" t="s">
        <v>284</v>
      </c>
      <c r="AH78" s="9" t="s">
        <v>100</v>
      </c>
      <c r="AI78" s="9">
        <v>3.82</v>
      </c>
      <c r="AJ78" s="9" t="s">
        <v>285</v>
      </c>
      <c r="AK78" s="9" t="s">
        <v>102</v>
      </c>
      <c r="AL78" s="10" t="s">
        <v>100</v>
      </c>
      <c r="AM78" s="10">
        <v>5.5952999999999999</v>
      </c>
      <c r="AN78" s="10" t="s">
        <v>286</v>
      </c>
      <c r="AO78" s="10" t="s">
        <v>102</v>
      </c>
      <c r="AP78" s="11" t="s">
        <v>100</v>
      </c>
      <c r="AQ78" s="11">
        <v>1.94</v>
      </c>
      <c r="AR78" s="11" t="s">
        <v>287</v>
      </c>
      <c r="AS78" s="11" t="s">
        <v>288</v>
      </c>
      <c r="AT78" s="11" t="s">
        <v>100</v>
      </c>
      <c r="AU78" s="11">
        <v>4.0193000000000003</v>
      </c>
      <c r="AV78" s="11" t="s">
        <v>289</v>
      </c>
      <c r="AW78" s="11" t="s">
        <v>102</v>
      </c>
      <c r="AX78" s="11" t="s">
        <v>100</v>
      </c>
      <c r="AY78" s="11">
        <v>5.5620000000000003</v>
      </c>
      <c r="AZ78" s="9" t="s">
        <v>290</v>
      </c>
      <c r="BA78" s="9" t="s">
        <v>102</v>
      </c>
      <c r="BB78" s="9" t="s">
        <v>100</v>
      </c>
      <c r="BC78" s="9">
        <v>0.81599999999999995</v>
      </c>
      <c r="BD78" s="9" t="s">
        <v>291</v>
      </c>
      <c r="BE78" s="9" t="s">
        <v>292</v>
      </c>
      <c r="BF78" s="9" t="s">
        <v>100</v>
      </c>
      <c r="BG78" s="9">
        <v>3.544</v>
      </c>
      <c r="BH78" s="9" t="s">
        <v>293</v>
      </c>
      <c r="BI78" s="9" t="s">
        <v>102</v>
      </c>
      <c r="BJ78" s="9" t="s">
        <v>100</v>
      </c>
      <c r="BK78" s="9">
        <v>5.9192999999999998</v>
      </c>
      <c r="BL78" s="9" t="s">
        <v>294</v>
      </c>
      <c r="BM78" s="9" t="s">
        <v>102</v>
      </c>
      <c r="BN78" s="9" t="s">
        <v>100</v>
      </c>
      <c r="BO78" s="9">
        <v>2.0339999999999998</v>
      </c>
      <c r="BP78" s="9" t="s">
        <v>295</v>
      </c>
      <c r="BQ78" s="9" t="s">
        <v>296</v>
      </c>
      <c r="BR78" s="9" t="s">
        <v>100</v>
      </c>
      <c r="BS78" s="9">
        <v>4.1612999999999998</v>
      </c>
      <c r="BT78" s="9" t="s">
        <v>297</v>
      </c>
      <c r="BU78" s="9" t="s">
        <v>102</v>
      </c>
      <c r="BV78" s="9" t="s">
        <v>100</v>
      </c>
      <c r="BW78" s="9">
        <v>6.2967000000000004</v>
      </c>
      <c r="BX78" s="9" t="s">
        <v>298</v>
      </c>
      <c r="BY78" s="9" t="s">
        <v>102</v>
      </c>
    </row>
    <row r="79" spans="1:77" ht="15.6" thickTop="1" thickBot="1" x14ac:dyDescent="0.35">
      <c r="A79" s="61"/>
      <c r="B79" s="57">
        <v>2019</v>
      </c>
      <c r="C79" s="57">
        <v>95230</v>
      </c>
      <c r="D79" s="57">
        <v>4</v>
      </c>
      <c r="E79" s="14">
        <f t="shared" si="28"/>
        <v>4.200357030347579</v>
      </c>
      <c r="F79" s="14">
        <f t="shared" si="29"/>
        <v>1.4351695289020272</v>
      </c>
      <c r="G79" s="85"/>
      <c r="H79" s="16"/>
      <c r="I79" s="23"/>
      <c r="J79" s="23"/>
      <c r="K79" s="63"/>
      <c r="L79" s="57">
        <v>47944</v>
      </c>
      <c r="M79" s="57">
        <v>23</v>
      </c>
      <c r="N79" s="14">
        <f t="shared" si="31"/>
        <v>47.972634740530623</v>
      </c>
      <c r="O79" s="14">
        <f t="shared" si="32"/>
        <v>3.8706307387613572</v>
      </c>
      <c r="P79" s="62"/>
      <c r="Q79" s="16"/>
      <c r="R79" s="23"/>
      <c r="S79" s="23"/>
      <c r="T79" s="63"/>
      <c r="U79" s="57">
        <v>20479</v>
      </c>
      <c r="V79" s="57">
        <v>68</v>
      </c>
      <c r="W79" s="14">
        <f t="shared" si="34"/>
        <v>332.04746325504175</v>
      </c>
      <c r="X79" s="14">
        <f t="shared" si="35"/>
        <v>5.8052779203100231</v>
      </c>
      <c r="Y79" s="62"/>
      <c r="Z79" s="16"/>
      <c r="AA79" s="23"/>
      <c r="AB79" s="23"/>
      <c r="AC79" s="63"/>
      <c r="AD79" s="9" t="s">
        <v>119</v>
      </c>
      <c r="AE79" s="9">
        <v>0.19370000000000001</v>
      </c>
      <c r="AF79" s="9" t="s">
        <v>299</v>
      </c>
      <c r="AG79" s="9" t="s">
        <v>300</v>
      </c>
      <c r="AH79" s="9" t="s">
        <v>119</v>
      </c>
      <c r="AI79" s="9">
        <v>4.7100000000000003E-2</v>
      </c>
      <c r="AJ79" s="9" t="s">
        <v>301</v>
      </c>
      <c r="AK79" s="9" t="s">
        <v>302</v>
      </c>
      <c r="AL79" s="10" t="s">
        <v>119</v>
      </c>
      <c r="AM79" s="10">
        <v>8.3699999999999997E-2</v>
      </c>
      <c r="AN79" s="10" t="s">
        <v>303</v>
      </c>
      <c r="AO79" s="10" t="s">
        <v>304</v>
      </c>
      <c r="AP79" s="11" t="s">
        <v>119</v>
      </c>
      <c r="AQ79" s="11">
        <v>-5.4300000000000001E-2</v>
      </c>
      <c r="AR79" s="11" t="s">
        <v>305</v>
      </c>
      <c r="AS79" s="11" t="s">
        <v>306</v>
      </c>
      <c r="AT79" s="11" t="s">
        <v>119</v>
      </c>
      <c r="AU79" s="11">
        <v>-2.46E-2</v>
      </c>
      <c r="AV79" s="11" t="s">
        <v>307</v>
      </c>
      <c r="AW79" s="11" t="s">
        <v>308</v>
      </c>
      <c r="AX79" s="11" t="s">
        <v>119</v>
      </c>
      <c r="AY79" s="11">
        <v>5.0900000000000001E-2</v>
      </c>
      <c r="AZ79" s="9" t="s">
        <v>309</v>
      </c>
      <c r="BA79" s="9" t="s">
        <v>310</v>
      </c>
      <c r="BB79" s="9" t="s">
        <v>119</v>
      </c>
      <c r="BC79" s="9">
        <v>0.19400000000000001</v>
      </c>
      <c r="BD79" s="9" t="s">
        <v>311</v>
      </c>
      <c r="BE79" s="9" t="s">
        <v>277</v>
      </c>
      <c r="BF79" s="9" t="s">
        <v>119</v>
      </c>
      <c r="BG79" s="9">
        <v>9.8900000000000002E-2</v>
      </c>
      <c r="BH79" s="9" t="s">
        <v>312</v>
      </c>
      <c r="BI79" s="9" t="s">
        <v>313</v>
      </c>
      <c r="BJ79" s="9" t="s">
        <v>119</v>
      </c>
      <c r="BK79" s="9">
        <v>-6.0000000000000001E-3</v>
      </c>
      <c r="BL79" s="9" t="s">
        <v>314</v>
      </c>
      <c r="BM79" s="9" t="s">
        <v>315</v>
      </c>
      <c r="BN79" s="9" t="s">
        <v>119</v>
      </c>
      <c r="BO79" s="9">
        <v>-0.14829999999999999</v>
      </c>
      <c r="BP79" s="9" t="s">
        <v>316</v>
      </c>
      <c r="BQ79" s="9" t="s">
        <v>317</v>
      </c>
      <c r="BR79" s="9" t="s">
        <v>119</v>
      </c>
      <c r="BS79" s="9">
        <v>-2.8000000000000001E-2</v>
      </c>
      <c r="BT79" s="9" t="s">
        <v>318</v>
      </c>
      <c r="BU79" s="9" t="s">
        <v>319</v>
      </c>
      <c r="BV79" s="9" t="s">
        <v>119</v>
      </c>
      <c r="BW79" s="9">
        <v>-4.3E-3</v>
      </c>
      <c r="BX79" s="9" t="s">
        <v>320</v>
      </c>
      <c r="BY79" s="9" t="s">
        <v>321</v>
      </c>
    </row>
    <row r="80" spans="1:77" ht="15.6" thickTop="1" thickBot="1" x14ac:dyDescent="0.35">
      <c r="A80" s="61"/>
      <c r="B80" s="57">
        <v>2020</v>
      </c>
      <c r="C80" s="57">
        <v>98653</v>
      </c>
      <c r="D80" s="57">
        <v>4</v>
      </c>
      <c r="E80" s="14">
        <f t="shared" si="28"/>
        <v>4.0546156731168841</v>
      </c>
      <c r="F80" s="14">
        <f t="shared" si="29"/>
        <v>1.3998559045594274</v>
      </c>
      <c r="G80" s="85"/>
      <c r="H80" s="16"/>
      <c r="I80" s="23"/>
      <c r="J80" s="23"/>
      <c r="K80" s="63"/>
      <c r="L80" s="57">
        <v>49685</v>
      </c>
      <c r="M80" s="57">
        <v>39</v>
      </c>
      <c r="N80" s="14">
        <f t="shared" si="31"/>
        <v>78.494515447318093</v>
      </c>
      <c r="O80" s="14">
        <f t="shared" si="32"/>
        <v>4.3630287554344109</v>
      </c>
      <c r="P80" s="62"/>
      <c r="Q80" s="16"/>
      <c r="R80" s="23"/>
      <c r="S80" s="23"/>
      <c r="T80" s="63"/>
      <c r="U80" s="57">
        <v>21135</v>
      </c>
      <c r="V80" s="57">
        <v>85</v>
      </c>
      <c r="W80" s="14">
        <f t="shared" si="34"/>
        <v>402.17648450437662</v>
      </c>
      <c r="X80" s="14">
        <f t="shared" si="35"/>
        <v>5.9968910084596549</v>
      </c>
      <c r="Y80" s="62"/>
      <c r="Z80" s="16"/>
      <c r="AA80" s="23"/>
      <c r="AB80" s="23"/>
      <c r="AC80" s="63"/>
      <c r="AD80" s="9" t="s">
        <v>148</v>
      </c>
      <c r="AE80" s="9" t="s">
        <v>322</v>
      </c>
      <c r="AF80" s="9"/>
      <c r="AG80" s="9"/>
      <c r="AH80" s="9" t="s">
        <v>148</v>
      </c>
      <c r="AI80" s="9" t="s">
        <v>323</v>
      </c>
      <c r="AJ80" s="9"/>
      <c r="AK80" s="9"/>
      <c r="AL80" s="10" t="s">
        <v>148</v>
      </c>
      <c r="AM80" s="10" t="s">
        <v>324</v>
      </c>
      <c r="AN80" s="10"/>
      <c r="AO80" s="10"/>
      <c r="AP80" s="11" t="s">
        <v>148</v>
      </c>
      <c r="AQ80" s="11" t="s">
        <v>325</v>
      </c>
      <c r="AR80" s="11"/>
      <c r="AS80" s="11"/>
      <c r="AT80" s="11" t="s">
        <v>148</v>
      </c>
      <c r="AU80" s="11" t="s">
        <v>326</v>
      </c>
      <c r="AV80" s="11"/>
      <c r="AW80" s="11"/>
      <c r="AX80" s="11" t="s">
        <v>148</v>
      </c>
      <c r="AY80" s="11" t="s">
        <v>327</v>
      </c>
      <c r="AZ80" s="9"/>
      <c r="BA80" s="9"/>
      <c r="BB80" s="9" t="s">
        <v>148</v>
      </c>
      <c r="BC80" s="9" t="s">
        <v>328</v>
      </c>
      <c r="BD80" s="9"/>
      <c r="BE80" s="9"/>
      <c r="BF80" s="9" t="s">
        <v>148</v>
      </c>
      <c r="BG80" s="9" t="s">
        <v>329</v>
      </c>
      <c r="BH80" s="9"/>
      <c r="BI80" s="9"/>
      <c r="BJ80" s="9" t="s">
        <v>148</v>
      </c>
      <c r="BK80" s="9" t="s">
        <v>330</v>
      </c>
      <c r="BL80" s="9"/>
      <c r="BM80" s="9"/>
      <c r="BN80" s="9" t="s">
        <v>148</v>
      </c>
      <c r="BO80" s="9" t="s">
        <v>331</v>
      </c>
      <c r="BP80" s="9"/>
      <c r="BQ80" s="9"/>
      <c r="BR80" s="9" t="s">
        <v>148</v>
      </c>
      <c r="BS80" s="9" t="s">
        <v>332</v>
      </c>
      <c r="BT80" s="9"/>
      <c r="BU80" s="9"/>
      <c r="BV80" s="9" t="s">
        <v>148</v>
      </c>
      <c r="BW80" s="9" t="s">
        <v>333</v>
      </c>
      <c r="BX80" s="9"/>
      <c r="BY80" s="9"/>
    </row>
    <row r="81" spans="1:77" ht="15.6" thickTop="1" thickBot="1" x14ac:dyDescent="0.35">
      <c r="A81" s="64"/>
      <c r="B81" s="57">
        <v>2021</v>
      </c>
      <c r="C81" s="57">
        <v>101584</v>
      </c>
      <c r="D81" s="57">
        <v>10</v>
      </c>
      <c r="E81" s="14">
        <f t="shared" si="28"/>
        <v>9.8440699322727987</v>
      </c>
      <c r="F81" s="14">
        <f t="shared" si="29"/>
        <v>2.2868692365540428</v>
      </c>
      <c r="G81" s="86"/>
      <c r="H81" s="16"/>
      <c r="I81" s="28"/>
      <c r="J81" s="28"/>
      <c r="K81" s="66"/>
      <c r="L81" s="57">
        <v>51265</v>
      </c>
      <c r="M81" s="57">
        <v>29</v>
      </c>
      <c r="N81" s="14">
        <f t="shared" si="31"/>
        <v>56.568809129035401</v>
      </c>
      <c r="O81" s="14">
        <f t="shared" si="32"/>
        <v>4.0354577578525106</v>
      </c>
      <c r="P81" s="65"/>
      <c r="Q81" s="16"/>
      <c r="R81" s="28"/>
      <c r="S81" s="28"/>
      <c r="T81" s="66"/>
      <c r="U81" s="57">
        <v>21496</v>
      </c>
      <c r="V81" s="57">
        <v>74</v>
      </c>
      <c r="W81" s="14">
        <f t="shared" si="34"/>
        <v>344.25009304056567</v>
      </c>
      <c r="X81" s="14">
        <f t="shared" si="35"/>
        <v>5.8413684078790711</v>
      </c>
      <c r="Y81" s="65"/>
      <c r="Z81" s="16"/>
      <c r="AA81" s="28"/>
      <c r="AB81" s="28"/>
      <c r="AC81" s="66"/>
      <c r="AD81" s="9" t="s">
        <v>161</v>
      </c>
      <c r="AE81" s="9" t="s">
        <v>334</v>
      </c>
      <c r="AF81" s="9"/>
      <c r="AG81" s="9"/>
      <c r="AH81" s="9" t="s">
        <v>161</v>
      </c>
      <c r="AI81" s="9" t="s">
        <v>335</v>
      </c>
      <c r="AJ81" s="9"/>
      <c r="AK81" s="9"/>
      <c r="AL81" s="10" t="s">
        <v>161</v>
      </c>
      <c r="AM81" s="10" t="s">
        <v>336</v>
      </c>
      <c r="AN81" s="10"/>
      <c r="AO81" s="10"/>
      <c r="AP81" s="11" t="s">
        <v>161</v>
      </c>
      <c r="AQ81" s="11" t="s">
        <v>337</v>
      </c>
      <c r="AR81" s="11"/>
      <c r="AS81" s="11"/>
      <c r="AT81" s="11" t="s">
        <v>161</v>
      </c>
      <c r="AU81" s="11" t="s">
        <v>338</v>
      </c>
      <c r="AV81" s="11"/>
      <c r="AW81" s="11"/>
      <c r="AX81" s="11" t="s">
        <v>161</v>
      </c>
      <c r="AY81" s="11" t="s">
        <v>339</v>
      </c>
      <c r="AZ81" s="9"/>
      <c r="BA81" s="9"/>
      <c r="BB81" s="9" t="s">
        <v>161</v>
      </c>
      <c r="BC81" s="9" t="s">
        <v>340</v>
      </c>
      <c r="BD81" s="9"/>
      <c r="BE81" s="9"/>
      <c r="BF81" s="9" t="s">
        <v>161</v>
      </c>
      <c r="BG81" s="9" t="s">
        <v>341</v>
      </c>
      <c r="BH81" s="9"/>
      <c r="BI81" s="9"/>
      <c r="BJ81" s="9" t="s">
        <v>161</v>
      </c>
      <c r="BK81" s="9" t="s">
        <v>342</v>
      </c>
      <c r="BL81" s="9"/>
      <c r="BM81" s="9"/>
      <c r="BN81" s="9" t="s">
        <v>161</v>
      </c>
      <c r="BO81" s="9" t="s">
        <v>343</v>
      </c>
      <c r="BP81" s="9"/>
      <c r="BQ81" s="9"/>
      <c r="BR81" s="9" t="s">
        <v>161</v>
      </c>
      <c r="BS81" s="9" t="s">
        <v>344</v>
      </c>
      <c r="BT81" s="9"/>
      <c r="BU81" s="9"/>
      <c r="BV81" s="9" t="s">
        <v>161</v>
      </c>
      <c r="BW81" s="9" t="s">
        <v>345</v>
      </c>
      <c r="BX81" s="9"/>
      <c r="BY81" s="9"/>
    </row>
    <row r="82" spans="1:77" ht="15.6" thickTop="1" thickBot="1" x14ac:dyDescent="0.35">
      <c r="A82" s="67" t="s">
        <v>176</v>
      </c>
      <c r="B82" s="68">
        <v>2016</v>
      </c>
      <c r="C82" s="68">
        <v>71147</v>
      </c>
      <c r="D82" s="68">
        <v>3</v>
      </c>
      <c r="E82" s="14">
        <f t="shared" si="28"/>
        <v>4.2166219236229221</v>
      </c>
      <c r="F82" s="14">
        <f>LN(E82)</f>
        <v>1.439034315450606</v>
      </c>
      <c r="G82" s="58">
        <v>-0.14829999999999999</v>
      </c>
      <c r="H82" s="16">
        <f t="shared" si="37"/>
        <v>-13.78275755869176</v>
      </c>
      <c r="I82" s="17">
        <f>(EXP(-0.402) - 1) * 100</f>
        <v>-33.101925430965331</v>
      </c>
      <c r="J82" s="17">
        <f>(EXP(0.105) - 1) * 100</f>
        <v>11.071061035570517</v>
      </c>
      <c r="K82" s="69">
        <v>0.1797</v>
      </c>
      <c r="L82" s="68">
        <v>33333</v>
      </c>
      <c r="M82" s="68">
        <v>26</v>
      </c>
      <c r="N82" s="14">
        <f t="shared" si="31"/>
        <v>78.000780007800074</v>
      </c>
      <c r="O82" s="14">
        <f t="shared" si="32"/>
        <v>4.3567188267395922</v>
      </c>
      <c r="P82" s="58">
        <v>-2.8000000000000001E-2</v>
      </c>
      <c r="Q82" s="16">
        <f t="shared" si="38"/>
        <v>-2.7611633198753149</v>
      </c>
      <c r="R82" s="17">
        <f>(EXP(-0.293) - 1) * 100</f>
        <v>-25.397785930277848</v>
      </c>
      <c r="S82" s="17">
        <f>(EXP(0.237) - 1) * 100</f>
        <v>26.744111777528357</v>
      </c>
      <c r="T82" s="69">
        <v>0.78410000000000002</v>
      </c>
      <c r="U82" s="68">
        <v>12570</v>
      </c>
      <c r="V82" s="68">
        <v>64</v>
      </c>
      <c r="W82" s="14">
        <f t="shared" si="34"/>
        <v>509.14876690533021</v>
      </c>
      <c r="X82" s="14">
        <f t="shared" si="35"/>
        <v>6.2327402467456077</v>
      </c>
      <c r="Y82" s="58">
        <v>-4.3E-3</v>
      </c>
      <c r="Z82" s="16">
        <f t="shared" si="39"/>
        <v>-0.42907682369338618</v>
      </c>
      <c r="AA82" s="17">
        <f>(EXP(-0.08) - 1) * 100</f>
        <v>-7.6883653613364249</v>
      </c>
      <c r="AB82" s="17">
        <f>(EXP(0.071) - 1) * 100</f>
        <v>7.3581225868357469</v>
      </c>
      <c r="AC82" s="69">
        <v>0.88260000000000005</v>
      </c>
      <c r="AD82" s="9" t="s">
        <v>174</v>
      </c>
      <c r="AE82" s="9" t="s">
        <v>175</v>
      </c>
      <c r="AF82" s="9"/>
      <c r="AG82" s="9"/>
      <c r="AH82" s="9" t="s">
        <v>174</v>
      </c>
      <c r="AI82" s="9" t="s">
        <v>175</v>
      </c>
      <c r="AJ82" s="9"/>
      <c r="AK82" s="9"/>
      <c r="AL82" s="10" t="s">
        <v>174</v>
      </c>
      <c r="AM82" s="10" t="s">
        <v>175</v>
      </c>
      <c r="AN82" s="10"/>
      <c r="AO82" s="10"/>
      <c r="AP82" s="11" t="s">
        <v>174</v>
      </c>
      <c r="AQ82" s="11" t="s">
        <v>175</v>
      </c>
      <c r="AR82" s="11"/>
      <c r="AS82" s="11"/>
      <c r="AT82" s="11" t="s">
        <v>174</v>
      </c>
      <c r="AU82" s="11" t="s">
        <v>175</v>
      </c>
      <c r="AV82" s="11"/>
      <c r="AW82" s="11"/>
      <c r="AX82" s="11" t="s">
        <v>174</v>
      </c>
      <c r="AY82" s="11" t="s">
        <v>175</v>
      </c>
      <c r="AZ82" s="9"/>
      <c r="BA82" s="9"/>
      <c r="BB82" s="9" t="s">
        <v>174</v>
      </c>
      <c r="BC82" s="9" t="s">
        <v>175</v>
      </c>
      <c r="BD82" s="9"/>
      <c r="BE82" s="9"/>
      <c r="BF82" s="9" t="s">
        <v>174</v>
      </c>
      <c r="BG82" s="9" t="s">
        <v>175</v>
      </c>
      <c r="BH82" s="9"/>
      <c r="BI82" s="9"/>
      <c r="BJ82" s="9" t="s">
        <v>174</v>
      </c>
      <c r="BK82" s="9" t="s">
        <v>175</v>
      </c>
      <c r="BL82" s="9"/>
      <c r="BM82" s="9"/>
      <c r="BN82" s="9" t="s">
        <v>174</v>
      </c>
      <c r="BO82" s="9" t="s">
        <v>175</v>
      </c>
      <c r="BP82" s="9"/>
      <c r="BQ82" s="9"/>
      <c r="BR82" s="9" t="s">
        <v>174</v>
      </c>
      <c r="BS82" s="9" t="s">
        <v>175</v>
      </c>
      <c r="BT82" s="9"/>
      <c r="BU82" s="9"/>
      <c r="BV82" s="9" t="s">
        <v>174</v>
      </c>
      <c r="BW82" s="9" t="s">
        <v>175</v>
      </c>
      <c r="BX82" s="9"/>
      <c r="BY82" s="9"/>
    </row>
    <row r="83" spans="1:77" ht="15.6" thickTop="1" thickBot="1" x14ac:dyDescent="0.35">
      <c r="A83" s="71"/>
      <c r="B83" s="68">
        <v>2017</v>
      </c>
      <c r="C83" s="68">
        <v>74375</v>
      </c>
      <c r="D83" s="68">
        <v>6</v>
      </c>
      <c r="E83" s="14">
        <f t="shared" si="28"/>
        <v>8.0672268907563023</v>
      </c>
      <c r="F83" s="14">
        <f t="shared" si="29"/>
        <v>2.0878097913503524</v>
      </c>
      <c r="G83" s="62"/>
      <c r="H83" s="16"/>
      <c r="I83" s="23"/>
      <c r="J83" s="23"/>
      <c r="K83" s="72"/>
      <c r="L83" s="68">
        <v>34767</v>
      </c>
      <c r="M83" s="68">
        <v>24</v>
      </c>
      <c r="N83" s="14">
        <f t="shared" si="31"/>
        <v>69.030977651220979</v>
      </c>
      <c r="O83" s="14">
        <f t="shared" si="32"/>
        <v>4.2345553553156732</v>
      </c>
      <c r="P83" s="62"/>
      <c r="Q83" s="16"/>
      <c r="R83" s="23"/>
      <c r="S83" s="23"/>
      <c r="T83" s="72"/>
      <c r="U83" s="68">
        <v>13521</v>
      </c>
      <c r="V83" s="68">
        <v>76</v>
      </c>
      <c r="W83" s="14">
        <f t="shared" si="34"/>
        <v>562.08860291398571</v>
      </c>
      <c r="X83" s="14">
        <f t="shared" si="35"/>
        <v>6.3316594938978019</v>
      </c>
      <c r="Y83" s="62"/>
      <c r="Z83" s="16"/>
      <c r="AA83" s="23"/>
      <c r="AB83" s="23"/>
      <c r="AC83" s="72"/>
    </row>
    <row r="84" spans="1:77" ht="15.6" thickTop="1" thickBot="1" x14ac:dyDescent="0.35">
      <c r="A84" s="71"/>
      <c r="B84" s="68">
        <v>2018</v>
      </c>
      <c r="C84" s="68">
        <v>77647</v>
      </c>
      <c r="D84" s="68">
        <v>5</v>
      </c>
      <c r="E84" s="14">
        <f t="shared" si="28"/>
        <v>6.4393988177263779</v>
      </c>
      <c r="F84" s="14">
        <f t="shared" si="29"/>
        <v>1.8624351844740359</v>
      </c>
      <c r="G84" s="62"/>
      <c r="H84" s="16"/>
      <c r="I84" s="23"/>
      <c r="J84" s="23"/>
      <c r="K84" s="72"/>
      <c r="L84" s="68">
        <v>36356</v>
      </c>
      <c r="M84" s="68">
        <v>13</v>
      </c>
      <c r="N84" s="14">
        <f t="shared" si="31"/>
        <v>35.757509076906146</v>
      </c>
      <c r="O84" s="14">
        <f t="shared" si="32"/>
        <v>3.576760291193104</v>
      </c>
      <c r="P84" s="62"/>
      <c r="Q84" s="16"/>
      <c r="R84" s="23"/>
      <c r="S84" s="23"/>
      <c r="T84" s="72"/>
      <c r="U84" s="68">
        <v>14524</v>
      </c>
      <c r="V84" s="68">
        <v>72</v>
      </c>
      <c r="W84" s="14">
        <f t="shared" si="34"/>
        <v>495.7312035251997</v>
      </c>
      <c r="X84" s="14">
        <f t="shared" si="35"/>
        <v>6.206033851452057</v>
      </c>
      <c r="Y84" s="62"/>
      <c r="Z84" s="16"/>
      <c r="AA84" s="23"/>
      <c r="AB84" s="23"/>
      <c r="AC84" s="72"/>
    </row>
    <row r="85" spans="1:77" ht="15.6" thickTop="1" thickBot="1" x14ac:dyDescent="0.35">
      <c r="A85" s="71"/>
      <c r="B85" s="68">
        <v>2019</v>
      </c>
      <c r="C85" s="68">
        <v>81015</v>
      </c>
      <c r="D85" s="68">
        <v>3</v>
      </c>
      <c r="E85" s="14">
        <f t="shared" si="28"/>
        <v>3.703017959637104</v>
      </c>
      <c r="F85" s="14">
        <f t="shared" si="29"/>
        <v>1.3091481519432369</v>
      </c>
      <c r="G85" s="62"/>
      <c r="H85" s="16"/>
      <c r="I85" s="23"/>
      <c r="J85" s="23"/>
      <c r="K85" s="72"/>
      <c r="L85" s="68">
        <v>38158</v>
      </c>
      <c r="M85" s="68">
        <v>16</v>
      </c>
      <c r="N85" s="14">
        <f t="shared" si="31"/>
        <v>41.930918811258451</v>
      </c>
      <c r="O85" s="14">
        <f t="shared" si="32"/>
        <v>3.7360234739227538</v>
      </c>
      <c r="P85" s="62"/>
      <c r="Q85" s="16"/>
      <c r="R85" s="23"/>
      <c r="S85" s="23"/>
      <c r="T85" s="72"/>
      <c r="U85" s="68">
        <v>15483</v>
      </c>
      <c r="V85" s="68">
        <v>99</v>
      </c>
      <c r="W85" s="14">
        <f t="shared" si="34"/>
        <v>639.41096686688627</v>
      </c>
      <c r="X85" s="14">
        <f t="shared" si="35"/>
        <v>6.4605473882879814</v>
      </c>
      <c r="Y85" s="62"/>
      <c r="Z85" s="16"/>
      <c r="AA85" s="23"/>
      <c r="AB85" s="23"/>
      <c r="AC85" s="72"/>
    </row>
    <row r="86" spans="1:77" ht="15.6" thickTop="1" thickBot="1" x14ac:dyDescent="0.35">
      <c r="A86" s="71"/>
      <c r="B86" s="68">
        <v>2020</v>
      </c>
      <c r="C86" s="68">
        <v>84302</v>
      </c>
      <c r="D86" s="68">
        <v>4</v>
      </c>
      <c r="E86" s="14">
        <f t="shared" si="28"/>
        <v>4.744845911129036</v>
      </c>
      <c r="F86" s="14">
        <f t="shared" si="29"/>
        <v>1.5570589575891927</v>
      </c>
      <c r="G86" s="62"/>
      <c r="H86" s="16"/>
      <c r="I86" s="23"/>
      <c r="J86" s="23"/>
      <c r="K86" s="72"/>
      <c r="L86" s="68">
        <v>39945</v>
      </c>
      <c r="M86" s="68">
        <v>36</v>
      </c>
      <c r="N86" s="14">
        <f t="shared" si="31"/>
        <v>90.123920390536995</v>
      </c>
      <c r="O86" s="14">
        <f t="shared" si="32"/>
        <v>4.5011856165101962</v>
      </c>
      <c r="P86" s="62"/>
      <c r="Q86" s="16"/>
      <c r="R86" s="23"/>
      <c r="S86" s="23"/>
      <c r="T86" s="72"/>
      <c r="U86" s="68">
        <v>16155</v>
      </c>
      <c r="V86" s="68">
        <v>86</v>
      </c>
      <c r="W86" s="14">
        <f t="shared" si="34"/>
        <v>532.34292788610333</v>
      </c>
      <c r="X86" s="14">
        <f t="shared" si="35"/>
        <v>6.2772878829651377</v>
      </c>
      <c r="Y86" s="62"/>
      <c r="Z86" s="16"/>
      <c r="AA86" s="23"/>
      <c r="AB86" s="23"/>
      <c r="AC86" s="72"/>
    </row>
    <row r="87" spans="1:77" ht="15.6" thickTop="1" thickBot="1" x14ac:dyDescent="0.35">
      <c r="A87" s="73"/>
      <c r="B87" s="68">
        <v>2021</v>
      </c>
      <c r="C87" s="68">
        <v>87377</v>
      </c>
      <c r="D87" s="68">
        <v>2</v>
      </c>
      <c r="E87" s="14">
        <f t="shared" si="28"/>
        <v>2.2889318699428913</v>
      </c>
      <c r="F87" s="14">
        <f t="shared" si="29"/>
        <v>0.82808527641339857</v>
      </c>
      <c r="G87" s="65"/>
      <c r="H87" s="16"/>
      <c r="I87" s="28"/>
      <c r="J87" s="28"/>
      <c r="K87" s="74"/>
      <c r="L87" s="68">
        <v>41666</v>
      </c>
      <c r="M87" s="68">
        <v>22</v>
      </c>
      <c r="N87" s="14">
        <f t="shared" si="31"/>
        <v>52.800844813517017</v>
      </c>
      <c r="O87" s="14">
        <f t="shared" si="32"/>
        <v>3.9665271908402171</v>
      </c>
      <c r="P87" s="65"/>
      <c r="Q87" s="16"/>
      <c r="R87" s="28"/>
      <c r="S87" s="28"/>
      <c r="T87" s="74"/>
      <c r="U87" s="68">
        <v>16533</v>
      </c>
      <c r="V87" s="68">
        <v>80</v>
      </c>
      <c r="W87" s="14">
        <f t="shared" si="34"/>
        <v>483.88072340168151</v>
      </c>
      <c r="X87" s="14">
        <f t="shared" si="35"/>
        <v>6.1818384370927655</v>
      </c>
      <c r="Y87" s="65"/>
      <c r="Z87" s="16"/>
      <c r="AA87" s="28"/>
      <c r="AB87" s="28"/>
      <c r="AC87" s="74"/>
    </row>
    <row r="89" spans="1:77" x14ac:dyDescent="0.3">
      <c r="F89" s="9"/>
      <c r="P89" s="9"/>
      <c r="Y89" s="9"/>
    </row>
  </sheetData>
  <mergeCells count="242">
    <mergeCell ref="Z82:Z87"/>
    <mergeCell ref="AA82:AA87"/>
    <mergeCell ref="AB82:AB87"/>
    <mergeCell ref="AC82:AC87"/>
    <mergeCell ref="P82:P87"/>
    <mergeCell ref="Q82:Q87"/>
    <mergeCell ref="R82:R87"/>
    <mergeCell ref="S82:S87"/>
    <mergeCell ref="T82:T87"/>
    <mergeCell ref="Y82:Y87"/>
    <mergeCell ref="Z76:Z81"/>
    <mergeCell ref="AA76:AA81"/>
    <mergeCell ref="AB76:AB81"/>
    <mergeCell ref="AC76:AC81"/>
    <mergeCell ref="A82:A87"/>
    <mergeCell ref="G82:G87"/>
    <mergeCell ref="H82:H87"/>
    <mergeCell ref="I82:I87"/>
    <mergeCell ref="J82:J87"/>
    <mergeCell ref="K82:K87"/>
    <mergeCell ref="P76:P81"/>
    <mergeCell ref="Q76:Q81"/>
    <mergeCell ref="R76:R81"/>
    <mergeCell ref="S76:S81"/>
    <mergeCell ref="T76:T81"/>
    <mergeCell ref="Y76:Y81"/>
    <mergeCell ref="Z70:Z75"/>
    <mergeCell ref="AA70:AA75"/>
    <mergeCell ref="AB70:AB75"/>
    <mergeCell ref="AC70:AC75"/>
    <mergeCell ref="A76:A81"/>
    <mergeCell ref="G76:G81"/>
    <mergeCell ref="H76:H81"/>
    <mergeCell ref="I76:I81"/>
    <mergeCell ref="J76:J81"/>
    <mergeCell ref="K76:K81"/>
    <mergeCell ref="P70:P75"/>
    <mergeCell ref="Q70:Q75"/>
    <mergeCell ref="R70:R75"/>
    <mergeCell ref="S70:S75"/>
    <mergeCell ref="T70:T75"/>
    <mergeCell ref="Y70:Y75"/>
    <mergeCell ref="BJ64:BM64"/>
    <mergeCell ref="BN64:BQ64"/>
    <mergeCell ref="BR64:BU64"/>
    <mergeCell ref="BV64:BY64"/>
    <mergeCell ref="A70:A75"/>
    <mergeCell ref="G70:G75"/>
    <mergeCell ref="H70:H75"/>
    <mergeCell ref="I70:I75"/>
    <mergeCell ref="J70:J75"/>
    <mergeCell ref="K70:K75"/>
    <mergeCell ref="AL64:AO64"/>
    <mergeCell ref="AP64:AS64"/>
    <mergeCell ref="AT64:AW64"/>
    <mergeCell ref="AX64:BA64"/>
    <mergeCell ref="BB64:BE64"/>
    <mergeCell ref="BF64:BI64"/>
    <mergeCell ref="Z64:Z69"/>
    <mergeCell ref="AA64:AA69"/>
    <mergeCell ref="AB64:AB69"/>
    <mergeCell ref="AC64:AC69"/>
    <mergeCell ref="AD64:AG64"/>
    <mergeCell ref="AH64:AK64"/>
    <mergeCell ref="P64:P69"/>
    <mergeCell ref="Q64:Q69"/>
    <mergeCell ref="R64:R69"/>
    <mergeCell ref="S64:S69"/>
    <mergeCell ref="T64:T69"/>
    <mergeCell ref="Y64:Y69"/>
    <mergeCell ref="A64:A69"/>
    <mergeCell ref="G64:G69"/>
    <mergeCell ref="H64:H69"/>
    <mergeCell ref="I64:I69"/>
    <mergeCell ref="J64:J69"/>
    <mergeCell ref="K64:K69"/>
    <mergeCell ref="Z52:Z57"/>
    <mergeCell ref="AA52:AA57"/>
    <mergeCell ref="AB52:AB57"/>
    <mergeCell ref="AC52:AC57"/>
    <mergeCell ref="C61:AC61"/>
    <mergeCell ref="A62:B62"/>
    <mergeCell ref="C62:K62"/>
    <mergeCell ref="L62:T62"/>
    <mergeCell ref="U62:AC62"/>
    <mergeCell ref="P52:P57"/>
    <mergeCell ref="Q52:Q57"/>
    <mergeCell ref="R52:R57"/>
    <mergeCell ref="S52:S57"/>
    <mergeCell ref="T52:T57"/>
    <mergeCell ref="Y52:Y57"/>
    <mergeCell ref="Z46:Z51"/>
    <mergeCell ref="AA46:AA51"/>
    <mergeCell ref="AB46:AB51"/>
    <mergeCell ref="AC46:AC51"/>
    <mergeCell ref="A52:A57"/>
    <mergeCell ref="G52:G57"/>
    <mergeCell ref="H52:H57"/>
    <mergeCell ref="I52:I57"/>
    <mergeCell ref="J52:J57"/>
    <mergeCell ref="K52:K57"/>
    <mergeCell ref="P46:P51"/>
    <mergeCell ref="Q46:Q51"/>
    <mergeCell ref="R46:R51"/>
    <mergeCell ref="S46:S51"/>
    <mergeCell ref="T46:T51"/>
    <mergeCell ref="Y46:Y51"/>
    <mergeCell ref="Z40:Z45"/>
    <mergeCell ref="AA40:AA45"/>
    <mergeCell ref="AB40:AB45"/>
    <mergeCell ref="AC40:AC45"/>
    <mergeCell ref="A46:A51"/>
    <mergeCell ref="G46:G51"/>
    <mergeCell ref="H46:H51"/>
    <mergeCell ref="I46:I51"/>
    <mergeCell ref="J46:J51"/>
    <mergeCell ref="K46:K51"/>
    <mergeCell ref="P40:P45"/>
    <mergeCell ref="Q40:Q45"/>
    <mergeCell ref="R40:R45"/>
    <mergeCell ref="S40:S45"/>
    <mergeCell ref="T40:T45"/>
    <mergeCell ref="Y40:Y45"/>
    <mergeCell ref="Z34:Z39"/>
    <mergeCell ref="AA34:AA39"/>
    <mergeCell ref="AB34:AB39"/>
    <mergeCell ref="AC34:AC39"/>
    <mergeCell ref="A40:A45"/>
    <mergeCell ref="G40:G45"/>
    <mergeCell ref="H40:H45"/>
    <mergeCell ref="I40:I45"/>
    <mergeCell ref="J40:J45"/>
    <mergeCell ref="K40:K45"/>
    <mergeCell ref="P34:P39"/>
    <mergeCell ref="Q34:Q39"/>
    <mergeCell ref="R34:R39"/>
    <mergeCell ref="S34:S39"/>
    <mergeCell ref="T34:T39"/>
    <mergeCell ref="Y34:Y39"/>
    <mergeCell ref="A34:A39"/>
    <mergeCell ref="G34:G39"/>
    <mergeCell ref="H34:H39"/>
    <mergeCell ref="I34:I39"/>
    <mergeCell ref="J34:J39"/>
    <mergeCell ref="K34:K39"/>
    <mergeCell ref="BB33:BE33"/>
    <mergeCell ref="BF33:BI33"/>
    <mergeCell ref="BJ33:BM33"/>
    <mergeCell ref="BN33:BQ33"/>
    <mergeCell ref="BR33:BU33"/>
    <mergeCell ref="BV33:BY33"/>
    <mergeCell ref="AD33:AG33"/>
    <mergeCell ref="AH33:AK33"/>
    <mergeCell ref="AL33:AO33"/>
    <mergeCell ref="AP33:AS33"/>
    <mergeCell ref="AT33:AW33"/>
    <mergeCell ref="AX33:BA33"/>
    <mergeCell ref="Z21:Z26"/>
    <mergeCell ref="AA21:AA26"/>
    <mergeCell ref="AB21:AB26"/>
    <mergeCell ref="AC21:AC26"/>
    <mergeCell ref="C31:AC31"/>
    <mergeCell ref="A32:B32"/>
    <mergeCell ref="C32:K32"/>
    <mergeCell ref="L32:T32"/>
    <mergeCell ref="U32:AC32"/>
    <mergeCell ref="P21:P26"/>
    <mergeCell ref="Q21:Q26"/>
    <mergeCell ref="R21:R26"/>
    <mergeCell ref="S21:S26"/>
    <mergeCell ref="T21:T26"/>
    <mergeCell ref="Y21:Y26"/>
    <mergeCell ref="Z15:Z20"/>
    <mergeCell ref="AA15:AA20"/>
    <mergeCell ref="AB15:AB20"/>
    <mergeCell ref="AC15:AC20"/>
    <mergeCell ref="A21:A26"/>
    <mergeCell ref="G21:G26"/>
    <mergeCell ref="H21:H26"/>
    <mergeCell ref="I21:I26"/>
    <mergeCell ref="J21:J26"/>
    <mergeCell ref="K21:K26"/>
    <mergeCell ref="P15:P20"/>
    <mergeCell ref="Q15:Q20"/>
    <mergeCell ref="R15:R20"/>
    <mergeCell ref="S15:S20"/>
    <mergeCell ref="T15:T20"/>
    <mergeCell ref="Y15:Y20"/>
    <mergeCell ref="Z9:Z14"/>
    <mergeCell ref="AA9:AA14"/>
    <mergeCell ref="AB9:AB14"/>
    <mergeCell ref="AC9:AC14"/>
    <mergeCell ref="A15:A20"/>
    <mergeCell ref="G15:G20"/>
    <mergeCell ref="H15:H20"/>
    <mergeCell ref="I15:I20"/>
    <mergeCell ref="J15:J20"/>
    <mergeCell ref="K15:K20"/>
    <mergeCell ref="P9:P14"/>
    <mergeCell ref="Q9:Q14"/>
    <mergeCell ref="R9:R14"/>
    <mergeCell ref="S9:S14"/>
    <mergeCell ref="T9:T14"/>
    <mergeCell ref="Y9:Y14"/>
    <mergeCell ref="Z3:Z8"/>
    <mergeCell ref="AA3:AA8"/>
    <mergeCell ref="AB3:AB8"/>
    <mergeCell ref="AC3:AC8"/>
    <mergeCell ref="A9:A14"/>
    <mergeCell ref="G9:G14"/>
    <mergeCell ref="H9:H14"/>
    <mergeCell ref="I9:I14"/>
    <mergeCell ref="J9:J14"/>
    <mergeCell ref="K9:K14"/>
    <mergeCell ref="P3:P8"/>
    <mergeCell ref="Q3:Q8"/>
    <mergeCell ref="R3:R8"/>
    <mergeCell ref="S3:S8"/>
    <mergeCell ref="T3:T8"/>
    <mergeCell ref="Y3:Y8"/>
    <mergeCell ref="BJ1:BM1"/>
    <mergeCell ref="BN1:BQ1"/>
    <mergeCell ref="BR1:BU1"/>
    <mergeCell ref="BV1:BY1"/>
    <mergeCell ref="A3:A8"/>
    <mergeCell ref="G3:G8"/>
    <mergeCell ref="H3:H8"/>
    <mergeCell ref="I3:I8"/>
    <mergeCell ref="J3:J8"/>
    <mergeCell ref="K3:K8"/>
    <mergeCell ref="AL1:AO1"/>
    <mergeCell ref="AP1:AS1"/>
    <mergeCell ref="AT1:AW1"/>
    <mergeCell ref="AX1:BA1"/>
    <mergeCell ref="BB1:BE1"/>
    <mergeCell ref="BF1:BI1"/>
    <mergeCell ref="A1:B1"/>
    <mergeCell ref="C1:K1"/>
    <mergeCell ref="L1:T1"/>
    <mergeCell ref="U1:AC1"/>
    <mergeCell ref="AD1:AG1"/>
    <mergeCell ref="AH1:AK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centro-oeste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Nathalya Rocha</dc:creator>
  <cp:lastModifiedBy>Nathalya Rocha</cp:lastModifiedBy>
  <dcterms:created xsi:type="dcterms:W3CDTF">2026-01-20T20:45:34Z</dcterms:created>
  <dcterms:modified xsi:type="dcterms:W3CDTF">2026-01-20T20:46:09Z</dcterms:modified>
</cp:coreProperties>
</file>