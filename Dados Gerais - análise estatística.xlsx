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f14be7dba2fa50b/Documentos/faculdade/tcc/Github/"/>
    </mc:Choice>
  </mc:AlternateContent>
  <xr:revisionPtr revIDLastSave="0" documentId="8_{B5F293BE-E80C-454C-B285-784F5B8C9CAA}" xr6:coauthVersionLast="47" xr6:coauthVersionMax="47" xr10:uidLastSave="{00000000-0000-0000-0000-000000000000}"/>
  <bookViews>
    <workbookView xWindow="-108" yWindow="-108" windowWidth="23256" windowHeight="12456" xr2:uid="{8D17A7DD-41C2-4244-A84A-67AD278F349E}"/>
  </bookViews>
  <sheets>
    <sheet name="G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H3" i="1"/>
  <c r="I3" i="1"/>
  <c r="J3" i="1"/>
  <c r="N3" i="1"/>
  <c r="O3" i="1" s="1"/>
  <c r="Q3" i="1"/>
  <c r="R3" i="1"/>
  <c r="S3" i="1"/>
  <c r="W3" i="1"/>
  <c r="X3" i="1" s="1"/>
  <c r="Z3" i="1"/>
  <c r="AA3" i="1"/>
  <c r="AB3" i="1"/>
  <c r="E4" i="1"/>
  <c r="F4" i="1"/>
  <c r="N4" i="1"/>
  <c r="O4" i="1"/>
  <c r="W4" i="1"/>
  <c r="X4" i="1"/>
  <c r="E5" i="1"/>
  <c r="F5" i="1" s="1"/>
  <c r="N5" i="1"/>
  <c r="O5" i="1"/>
  <c r="W5" i="1"/>
  <c r="X5" i="1"/>
  <c r="E6" i="1"/>
  <c r="F6" i="1"/>
  <c r="N6" i="1"/>
  <c r="O6" i="1" s="1"/>
  <c r="W6" i="1"/>
  <c r="X6" i="1"/>
  <c r="E7" i="1"/>
  <c r="F7" i="1"/>
  <c r="N7" i="1"/>
  <c r="O7" i="1"/>
  <c r="W7" i="1"/>
  <c r="X7" i="1" s="1"/>
  <c r="E8" i="1"/>
  <c r="F8" i="1"/>
  <c r="N8" i="1"/>
  <c r="O8" i="1"/>
  <c r="W8" i="1"/>
  <c r="X8" i="1"/>
  <c r="E9" i="1"/>
  <c r="F9" i="1"/>
  <c r="H9" i="1"/>
  <c r="I9" i="1"/>
  <c r="J9" i="1"/>
  <c r="N9" i="1"/>
  <c r="O9" i="1" s="1"/>
  <c r="Q9" i="1"/>
  <c r="R9" i="1"/>
  <c r="S9" i="1"/>
  <c r="W9" i="1"/>
  <c r="X9" i="1"/>
  <c r="Z9" i="1"/>
  <c r="AA9" i="1"/>
  <c r="AB9" i="1"/>
  <c r="E10" i="1"/>
  <c r="F10" i="1" s="1"/>
  <c r="N10" i="1"/>
  <c r="O10" i="1"/>
  <c r="W10" i="1"/>
  <c r="X10" i="1" s="1"/>
  <c r="E11" i="1"/>
  <c r="F11" i="1" s="1"/>
  <c r="N11" i="1"/>
  <c r="O11" i="1" s="1"/>
  <c r="W11" i="1"/>
  <c r="X11" i="1"/>
  <c r="E12" i="1"/>
  <c r="F12" i="1" s="1"/>
  <c r="N12" i="1"/>
  <c r="O12" i="1" s="1"/>
  <c r="W12" i="1"/>
  <c r="X12" i="1" s="1"/>
  <c r="E13" i="1"/>
  <c r="F13" i="1"/>
  <c r="N13" i="1"/>
  <c r="O13" i="1" s="1"/>
  <c r="W13" i="1"/>
  <c r="X13" i="1" s="1"/>
  <c r="E14" i="1"/>
  <c r="F14" i="1" s="1"/>
  <c r="N14" i="1"/>
  <c r="O14" i="1"/>
  <c r="W14" i="1"/>
  <c r="X14" i="1" s="1"/>
  <c r="E15" i="1"/>
  <c r="F15" i="1" s="1"/>
  <c r="H15" i="1"/>
  <c r="I15" i="1"/>
  <c r="J15" i="1"/>
  <c r="N15" i="1"/>
  <c r="O15" i="1"/>
  <c r="Q15" i="1"/>
  <c r="R15" i="1"/>
  <c r="S15" i="1"/>
  <c r="W15" i="1"/>
  <c r="X15" i="1" s="1"/>
  <c r="Z15" i="1"/>
  <c r="AA15" i="1"/>
  <c r="AB15" i="1"/>
  <c r="E16" i="1"/>
  <c r="F16" i="1"/>
  <c r="N16" i="1"/>
  <c r="O16" i="1"/>
  <c r="W16" i="1"/>
  <c r="X16" i="1"/>
  <c r="E17" i="1"/>
  <c r="F17" i="1"/>
  <c r="N17" i="1"/>
  <c r="O17" i="1"/>
  <c r="W17" i="1"/>
  <c r="X17" i="1"/>
  <c r="E18" i="1"/>
  <c r="F18" i="1"/>
  <c r="N18" i="1"/>
  <c r="O18" i="1"/>
  <c r="W18" i="1"/>
  <c r="X18" i="1"/>
  <c r="E19" i="1"/>
  <c r="F19" i="1"/>
  <c r="N19" i="1"/>
  <c r="O19" i="1" s="1"/>
  <c r="W19" i="1"/>
  <c r="X19" i="1"/>
  <c r="E20" i="1"/>
  <c r="F20" i="1"/>
  <c r="N20" i="1"/>
  <c r="O20" i="1"/>
  <c r="W20" i="1"/>
  <c r="X20" i="1" s="1"/>
  <c r="E21" i="1"/>
  <c r="F21" i="1"/>
  <c r="H21" i="1"/>
  <c r="I21" i="1"/>
  <c r="J21" i="1"/>
  <c r="N21" i="1"/>
  <c r="O21" i="1" s="1"/>
  <c r="Q21" i="1"/>
  <c r="R21" i="1"/>
  <c r="S21" i="1"/>
  <c r="W21" i="1"/>
  <c r="X21" i="1"/>
  <c r="Z21" i="1"/>
  <c r="AA21" i="1"/>
  <c r="AB21" i="1"/>
  <c r="E22" i="1"/>
  <c r="F22" i="1"/>
  <c r="N22" i="1"/>
  <c r="O22" i="1" s="1"/>
  <c r="W22" i="1"/>
  <c r="X22" i="1" s="1"/>
  <c r="E23" i="1"/>
  <c r="F23" i="1" s="1"/>
  <c r="N23" i="1"/>
  <c r="O23" i="1"/>
  <c r="W23" i="1"/>
  <c r="X23" i="1" s="1"/>
  <c r="E24" i="1"/>
  <c r="F24" i="1" s="1"/>
  <c r="N24" i="1"/>
  <c r="O24" i="1" s="1"/>
  <c r="W24" i="1"/>
  <c r="X24" i="1"/>
  <c r="E25" i="1"/>
  <c r="F25" i="1" s="1"/>
  <c r="N25" i="1"/>
  <c r="O25" i="1" s="1"/>
  <c r="W25" i="1"/>
  <c r="X25" i="1" s="1"/>
  <c r="E26" i="1"/>
  <c r="F26" i="1"/>
  <c r="N26" i="1"/>
  <c r="O26" i="1" s="1"/>
  <c r="W26" i="1"/>
  <c r="X26" i="1" s="1"/>
  <c r="E27" i="1"/>
  <c r="F27" i="1" s="1"/>
  <c r="H27" i="1"/>
  <c r="I27" i="1"/>
  <c r="J27" i="1"/>
  <c r="N27" i="1"/>
  <c r="O27" i="1"/>
  <c r="Q27" i="1"/>
  <c r="R27" i="1"/>
  <c r="S27" i="1"/>
  <c r="W27" i="1"/>
  <c r="X27" i="1"/>
  <c r="Z27" i="1"/>
  <c r="AA27" i="1"/>
  <c r="AB27" i="1"/>
  <c r="E28" i="1"/>
  <c r="F28" i="1"/>
  <c r="N28" i="1"/>
  <c r="O28" i="1" s="1"/>
  <c r="W28" i="1"/>
  <c r="X28" i="1"/>
  <c r="E29" i="1"/>
  <c r="F29" i="1"/>
  <c r="N29" i="1"/>
  <c r="O29" i="1"/>
  <c r="W29" i="1"/>
  <c r="X29" i="1" s="1"/>
  <c r="E30" i="1"/>
  <c r="F30" i="1"/>
  <c r="N30" i="1"/>
  <c r="O30" i="1"/>
  <c r="W30" i="1"/>
  <c r="X30" i="1"/>
  <c r="E31" i="1"/>
  <c r="F31" i="1" s="1"/>
  <c r="N31" i="1"/>
  <c r="O31" i="1"/>
  <c r="W31" i="1"/>
  <c r="X31" i="1"/>
  <c r="E32" i="1"/>
  <c r="F32" i="1"/>
  <c r="N32" i="1"/>
  <c r="O32" i="1" s="1"/>
  <c r="W32" i="1"/>
  <c r="X32" i="1"/>
  <c r="E37" i="1"/>
  <c r="F37" i="1"/>
  <c r="H37" i="1"/>
  <c r="I37" i="1"/>
  <c r="J37" i="1"/>
  <c r="N37" i="1"/>
  <c r="O37" i="1"/>
  <c r="Q37" i="1"/>
  <c r="R37" i="1"/>
  <c r="S37" i="1"/>
  <c r="W37" i="1"/>
  <c r="X37" i="1"/>
  <c r="Z37" i="1"/>
  <c r="AA37" i="1"/>
  <c r="AB37" i="1"/>
  <c r="E38" i="1"/>
  <c r="F38" i="1" s="1"/>
  <c r="N38" i="1"/>
  <c r="O38" i="1" s="1"/>
  <c r="W38" i="1"/>
  <c r="X38" i="1" s="1"/>
  <c r="E39" i="1"/>
  <c r="F39" i="1"/>
  <c r="N39" i="1"/>
  <c r="O39" i="1" s="1"/>
  <c r="W39" i="1"/>
  <c r="X39" i="1" s="1"/>
  <c r="E40" i="1"/>
  <c r="F40" i="1" s="1"/>
  <c r="N40" i="1"/>
  <c r="O40" i="1"/>
  <c r="W40" i="1"/>
  <c r="X40" i="1" s="1"/>
  <c r="E41" i="1"/>
  <c r="F41" i="1" s="1"/>
  <c r="N41" i="1"/>
  <c r="O41" i="1" s="1"/>
  <c r="W41" i="1"/>
  <c r="X41" i="1"/>
  <c r="E42" i="1"/>
  <c r="F42" i="1" s="1"/>
  <c r="N42" i="1"/>
  <c r="O42" i="1" s="1"/>
  <c r="W42" i="1"/>
  <c r="X42" i="1" s="1"/>
  <c r="E43" i="1"/>
  <c r="F43" i="1"/>
  <c r="H43" i="1"/>
  <c r="I43" i="1"/>
  <c r="J43" i="1"/>
  <c r="N43" i="1"/>
  <c r="O43" i="1"/>
  <c r="Q43" i="1"/>
  <c r="R43" i="1"/>
  <c r="S43" i="1"/>
  <c r="W43" i="1"/>
  <c r="X43" i="1" s="1"/>
  <c r="Z43" i="1"/>
  <c r="AA43" i="1"/>
  <c r="AB43" i="1"/>
  <c r="E44" i="1"/>
  <c r="F44" i="1" s="1"/>
  <c r="N44" i="1"/>
  <c r="O44" i="1"/>
  <c r="W44" i="1"/>
  <c r="X44" i="1"/>
  <c r="E45" i="1"/>
  <c r="F45" i="1"/>
  <c r="N45" i="1"/>
  <c r="O45" i="1" s="1"/>
  <c r="W45" i="1"/>
  <c r="X45" i="1"/>
  <c r="E46" i="1"/>
  <c r="F46" i="1"/>
  <c r="N46" i="1"/>
  <c r="O46" i="1"/>
  <c r="W46" i="1"/>
  <c r="X46" i="1" s="1"/>
  <c r="E47" i="1"/>
  <c r="F47" i="1"/>
  <c r="N47" i="1"/>
  <c r="O47" i="1"/>
  <c r="W47" i="1"/>
  <c r="X47" i="1"/>
  <c r="E48" i="1"/>
  <c r="F48" i="1" s="1"/>
  <c r="N48" i="1"/>
  <c r="O48" i="1"/>
  <c r="W48" i="1"/>
  <c r="X48" i="1"/>
  <c r="E49" i="1"/>
  <c r="F49" i="1"/>
  <c r="H49" i="1"/>
  <c r="I49" i="1"/>
  <c r="J49" i="1"/>
  <c r="N49" i="1"/>
  <c r="O49" i="1" s="1"/>
  <c r="Q49" i="1"/>
  <c r="R49" i="1"/>
  <c r="S49" i="1"/>
  <c r="W49" i="1"/>
  <c r="X49" i="1" s="1"/>
  <c r="Z49" i="1"/>
  <c r="AA49" i="1"/>
  <c r="AB49" i="1"/>
  <c r="E50" i="1"/>
  <c r="F50" i="1" s="1"/>
  <c r="N50" i="1"/>
  <c r="O50" i="1" s="1"/>
  <c r="W50" i="1"/>
  <c r="X50" i="1"/>
  <c r="E51" i="1"/>
  <c r="F51" i="1" s="1"/>
  <c r="N51" i="1"/>
  <c r="O51" i="1" s="1"/>
  <c r="W51" i="1"/>
  <c r="X51" i="1" s="1"/>
  <c r="E52" i="1"/>
  <c r="F52" i="1"/>
  <c r="N52" i="1"/>
  <c r="O52" i="1" s="1"/>
  <c r="W52" i="1"/>
  <c r="X52" i="1" s="1"/>
  <c r="E53" i="1"/>
  <c r="F53" i="1" s="1"/>
  <c r="N53" i="1"/>
  <c r="O53" i="1"/>
  <c r="W53" i="1"/>
  <c r="X53" i="1" s="1"/>
  <c r="E54" i="1"/>
  <c r="F54" i="1" s="1"/>
  <c r="N54" i="1"/>
  <c r="O54" i="1" s="1"/>
  <c r="W54" i="1"/>
  <c r="X54" i="1"/>
  <c r="E55" i="1"/>
  <c r="F55" i="1" s="1"/>
  <c r="H55" i="1"/>
  <c r="I55" i="1"/>
  <c r="J55" i="1"/>
  <c r="N55" i="1"/>
  <c r="O55" i="1" s="1"/>
  <c r="Q55" i="1"/>
  <c r="R55" i="1"/>
  <c r="S55" i="1"/>
  <c r="W55" i="1"/>
  <c r="X55" i="1" s="1"/>
  <c r="Z55" i="1"/>
  <c r="AA55" i="1"/>
  <c r="AB55" i="1"/>
  <c r="E56" i="1"/>
  <c r="F56" i="1"/>
  <c r="N56" i="1"/>
  <c r="O56" i="1"/>
  <c r="W56" i="1"/>
  <c r="X56" i="1"/>
  <c r="E57" i="1"/>
  <c r="F57" i="1" s="1"/>
  <c r="N57" i="1"/>
  <c r="O57" i="1"/>
  <c r="W57" i="1"/>
  <c r="X57" i="1"/>
  <c r="E58" i="1"/>
  <c r="F58" i="1"/>
  <c r="N58" i="1"/>
  <c r="O58" i="1" s="1"/>
  <c r="W58" i="1"/>
  <c r="X58" i="1"/>
  <c r="E59" i="1"/>
  <c r="F59" i="1"/>
  <c r="N59" i="1"/>
  <c r="O59" i="1"/>
  <c r="W59" i="1"/>
  <c r="X59" i="1" s="1"/>
  <c r="E60" i="1"/>
  <c r="F60" i="1"/>
  <c r="N60" i="1"/>
  <c r="O60" i="1"/>
  <c r="W60" i="1"/>
  <c r="X60" i="1"/>
  <c r="E61" i="1"/>
  <c r="F61" i="1" s="1"/>
  <c r="H61" i="1"/>
  <c r="I61" i="1"/>
  <c r="J61" i="1"/>
  <c r="N61" i="1"/>
  <c r="O61" i="1" s="1"/>
  <c r="Q61" i="1"/>
  <c r="R61" i="1"/>
  <c r="S61" i="1"/>
  <c r="W61" i="1"/>
  <c r="X61" i="1"/>
  <c r="Z61" i="1"/>
  <c r="AA61" i="1"/>
  <c r="AB61" i="1"/>
  <c r="E62" i="1"/>
  <c r="F62" i="1" s="1"/>
  <c r="N62" i="1"/>
  <c r="O62" i="1"/>
  <c r="W62" i="1"/>
  <c r="X62" i="1" s="1"/>
  <c r="E63" i="1"/>
  <c r="F63" i="1" s="1"/>
  <c r="N63" i="1"/>
  <c r="O63" i="1" s="1"/>
  <c r="W63" i="1"/>
  <c r="X63" i="1"/>
  <c r="E64" i="1"/>
  <c r="F64" i="1" s="1"/>
  <c r="N64" i="1"/>
  <c r="O64" i="1" s="1"/>
  <c r="W64" i="1"/>
  <c r="X64" i="1" s="1"/>
  <c r="E65" i="1"/>
  <c r="F65" i="1"/>
  <c r="N65" i="1"/>
  <c r="O65" i="1" s="1"/>
  <c r="W65" i="1"/>
  <c r="X65" i="1" s="1"/>
  <c r="E66" i="1"/>
  <c r="F66" i="1" s="1"/>
  <c r="N66" i="1"/>
  <c r="O66" i="1"/>
  <c r="W66" i="1"/>
  <c r="X66" i="1" s="1"/>
  <c r="E73" i="1"/>
  <c r="F73" i="1" s="1"/>
  <c r="H73" i="1"/>
  <c r="I73" i="1"/>
  <c r="J73" i="1"/>
  <c r="N73" i="1"/>
  <c r="O73" i="1"/>
  <c r="Q73" i="1"/>
  <c r="R73" i="1"/>
  <c r="S73" i="1"/>
  <c r="W73" i="1"/>
  <c r="X73" i="1" s="1"/>
  <c r="Z73" i="1"/>
  <c r="AA73" i="1"/>
  <c r="AB73" i="1"/>
  <c r="E74" i="1"/>
  <c r="F74" i="1"/>
  <c r="N74" i="1"/>
  <c r="O74" i="1"/>
  <c r="W74" i="1"/>
  <c r="X74" i="1" s="1"/>
  <c r="E75" i="1"/>
  <c r="F75" i="1"/>
  <c r="N75" i="1"/>
  <c r="O75" i="1"/>
  <c r="W75" i="1"/>
  <c r="X75" i="1"/>
  <c r="E76" i="1"/>
  <c r="F76" i="1" s="1"/>
  <c r="N76" i="1"/>
  <c r="O76" i="1"/>
  <c r="W76" i="1"/>
  <c r="X76" i="1"/>
  <c r="E77" i="1"/>
  <c r="F77" i="1"/>
  <c r="N77" i="1"/>
  <c r="O77" i="1" s="1"/>
  <c r="W77" i="1"/>
  <c r="X77" i="1"/>
  <c r="E78" i="1"/>
  <c r="F78" i="1"/>
  <c r="N78" i="1"/>
  <c r="O78" i="1"/>
  <c r="W78" i="1"/>
  <c r="X78" i="1" s="1"/>
  <c r="E79" i="1"/>
  <c r="F79" i="1"/>
  <c r="H79" i="1"/>
  <c r="I79" i="1"/>
  <c r="J79" i="1"/>
  <c r="N79" i="1"/>
  <c r="O79" i="1" s="1"/>
  <c r="Q79" i="1"/>
  <c r="R79" i="1"/>
  <c r="S79" i="1"/>
  <c r="W79" i="1"/>
  <c r="X79" i="1"/>
  <c r="Z79" i="1"/>
  <c r="AA79" i="1"/>
  <c r="AB79" i="1"/>
  <c r="E80" i="1"/>
  <c r="F80" i="1"/>
  <c r="N80" i="1"/>
  <c r="O80" i="1" s="1"/>
  <c r="W80" i="1"/>
  <c r="X80" i="1" s="1"/>
  <c r="E81" i="1"/>
  <c r="F81" i="1" s="1"/>
  <c r="N81" i="1"/>
  <c r="O81" i="1"/>
  <c r="W81" i="1"/>
  <c r="X81" i="1" s="1"/>
  <c r="E82" i="1"/>
  <c r="F82" i="1" s="1"/>
  <c r="N82" i="1"/>
  <c r="O82" i="1" s="1"/>
  <c r="W82" i="1"/>
  <c r="X82" i="1"/>
  <c r="E83" i="1"/>
  <c r="F83" i="1" s="1"/>
  <c r="N83" i="1"/>
  <c r="O83" i="1" s="1"/>
  <c r="W83" i="1"/>
  <c r="X83" i="1" s="1"/>
  <c r="E84" i="1"/>
  <c r="F84" i="1"/>
  <c r="N84" i="1"/>
  <c r="O84" i="1" s="1"/>
  <c r="W84" i="1"/>
  <c r="X84" i="1" s="1"/>
  <c r="E85" i="1"/>
  <c r="F85" i="1" s="1"/>
  <c r="H85" i="1"/>
  <c r="I85" i="1"/>
  <c r="J85" i="1"/>
  <c r="N85" i="1"/>
  <c r="O85" i="1"/>
  <c r="Q85" i="1"/>
  <c r="R85" i="1"/>
  <c r="S85" i="1"/>
  <c r="W85" i="1"/>
  <c r="X85" i="1"/>
  <c r="Z85" i="1"/>
  <c r="AA85" i="1"/>
  <c r="AB85" i="1"/>
  <c r="E86" i="1"/>
  <c r="F86" i="1"/>
  <c r="N86" i="1"/>
  <c r="O86" i="1" s="1"/>
  <c r="W86" i="1"/>
  <c r="X86" i="1"/>
  <c r="E87" i="1"/>
  <c r="F87" i="1"/>
  <c r="N87" i="1"/>
  <c r="O87" i="1"/>
  <c r="W87" i="1"/>
  <c r="X87" i="1" s="1"/>
  <c r="E88" i="1"/>
  <c r="F88" i="1"/>
  <c r="N88" i="1"/>
  <c r="O88" i="1"/>
  <c r="W88" i="1"/>
  <c r="X88" i="1"/>
  <c r="E89" i="1"/>
  <c r="F89" i="1" s="1"/>
  <c r="N89" i="1"/>
  <c r="O89" i="1"/>
  <c r="W89" i="1"/>
  <c r="X89" i="1"/>
  <c r="E90" i="1"/>
  <c r="F90" i="1"/>
  <c r="N90" i="1"/>
  <c r="O90" i="1" s="1"/>
  <c r="W90" i="1"/>
  <c r="X90" i="1"/>
  <c r="E91" i="1"/>
  <c r="F91" i="1"/>
  <c r="H91" i="1"/>
  <c r="I91" i="1"/>
  <c r="J91" i="1"/>
  <c r="N91" i="1"/>
  <c r="O91" i="1"/>
  <c r="Q91" i="1"/>
  <c r="R91" i="1"/>
  <c r="S91" i="1"/>
  <c r="W91" i="1"/>
  <c r="X91" i="1"/>
  <c r="Z91" i="1"/>
  <c r="AA91" i="1"/>
  <c r="AB91" i="1"/>
  <c r="E92" i="1"/>
  <c r="F92" i="1" s="1"/>
  <c r="N92" i="1"/>
  <c r="O92" i="1" s="1"/>
  <c r="W92" i="1"/>
  <c r="X92" i="1" s="1"/>
  <c r="E93" i="1"/>
  <c r="F93" i="1"/>
  <c r="N93" i="1"/>
  <c r="O93" i="1" s="1"/>
  <c r="W93" i="1"/>
  <c r="X93" i="1" s="1"/>
  <c r="E94" i="1"/>
  <c r="F94" i="1" s="1"/>
  <c r="N94" i="1"/>
  <c r="O94" i="1"/>
  <c r="W94" i="1"/>
  <c r="X94" i="1" s="1"/>
  <c r="E95" i="1"/>
  <c r="F95" i="1" s="1"/>
  <c r="N95" i="1"/>
  <c r="O95" i="1" s="1"/>
  <c r="W95" i="1"/>
  <c r="X95" i="1"/>
  <c r="E96" i="1"/>
  <c r="F96" i="1" s="1"/>
  <c r="N96" i="1"/>
  <c r="O96" i="1" s="1"/>
  <c r="W96" i="1"/>
  <c r="X96" i="1" s="1"/>
  <c r="E97" i="1"/>
  <c r="F97" i="1"/>
  <c r="H97" i="1"/>
  <c r="I97" i="1"/>
  <c r="J97" i="1"/>
  <c r="N97" i="1"/>
  <c r="O97" i="1"/>
  <c r="Q97" i="1"/>
  <c r="R97" i="1"/>
  <c r="S97" i="1"/>
  <c r="W97" i="1"/>
  <c r="X97" i="1" s="1"/>
  <c r="Z97" i="1"/>
  <c r="AA97" i="1"/>
  <c r="AB97" i="1"/>
  <c r="E98" i="1"/>
  <c r="F98" i="1" s="1"/>
  <c r="N98" i="1"/>
  <c r="O98" i="1"/>
  <c r="W98" i="1"/>
  <c r="X98" i="1"/>
  <c r="E99" i="1"/>
  <c r="F99" i="1"/>
  <c r="N99" i="1"/>
  <c r="O99" i="1" s="1"/>
  <c r="W99" i="1"/>
  <c r="X99" i="1"/>
  <c r="E100" i="1"/>
  <c r="F100" i="1"/>
  <c r="N100" i="1"/>
  <c r="O100" i="1"/>
  <c r="W100" i="1"/>
  <c r="X100" i="1" s="1"/>
  <c r="E101" i="1"/>
  <c r="F101" i="1"/>
  <c r="N101" i="1"/>
  <c r="O101" i="1"/>
  <c r="W101" i="1"/>
  <c r="X101" i="1"/>
  <c r="E102" i="1"/>
  <c r="F102" i="1" s="1"/>
  <c r="N102" i="1"/>
  <c r="O102" i="1"/>
  <c r="W102" i="1"/>
  <c r="X102" i="1"/>
  <c r="C109" i="1"/>
  <c r="D109" i="1"/>
  <c r="E109" i="1" s="1"/>
  <c r="F109" i="1" s="1"/>
  <c r="H109" i="1"/>
  <c r="I109" i="1"/>
  <c r="J109" i="1"/>
  <c r="L109" i="1"/>
  <c r="N109" i="1" s="1"/>
  <c r="O109" i="1" s="1"/>
  <c r="M109" i="1"/>
  <c r="Q109" i="1"/>
  <c r="R109" i="1"/>
  <c r="S109" i="1"/>
  <c r="U109" i="1"/>
  <c r="V109" i="1"/>
  <c r="W109" i="1" s="1"/>
  <c r="X109" i="1" s="1"/>
  <c r="Z109" i="1"/>
  <c r="AA109" i="1"/>
  <c r="AB109" i="1"/>
  <c r="C110" i="1"/>
  <c r="D110" i="1"/>
  <c r="E110" i="1"/>
  <c r="F110" i="1" s="1"/>
  <c r="L110" i="1"/>
  <c r="M110" i="1"/>
  <c r="N110" i="1" s="1"/>
  <c r="O110" i="1" s="1"/>
  <c r="U110" i="1"/>
  <c r="V110" i="1"/>
  <c r="W110" i="1"/>
  <c r="X110" i="1" s="1"/>
  <c r="C111" i="1"/>
  <c r="D111" i="1"/>
  <c r="E111" i="1" s="1"/>
  <c r="F111" i="1" s="1"/>
  <c r="L111" i="1"/>
  <c r="M111" i="1"/>
  <c r="N111" i="1"/>
  <c r="O111" i="1" s="1"/>
  <c r="U111" i="1"/>
  <c r="V111" i="1"/>
  <c r="W111" i="1" s="1"/>
  <c r="X111" i="1" s="1"/>
  <c r="C112" i="1"/>
  <c r="D112" i="1"/>
  <c r="E112" i="1"/>
  <c r="F112" i="1" s="1"/>
  <c r="L112" i="1"/>
  <c r="M112" i="1"/>
  <c r="N112" i="1" s="1"/>
  <c r="O112" i="1" s="1"/>
  <c r="U112" i="1"/>
  <c r="V112" i="1"/>
  <c r="W112" i="1"/>
  <c r="X112" i="1" s="1"/>
  <c r="C113" i="1"/>
  <c r="E113" i="1" s="1"/>
  <c r="F113" i="1" s="1"/>
  <c r="D113" i="1"/>
  <c r="L113" i="1"/>
  <c r="M113" i="1"/>
  <c r="N113" i="1"/>
  <c r="O113" i="1" s="1"/>
  <c r="U113" i="1"/>
  <c r="W113" i="1" s="1"/>
  <c r="X113" i="1" s="1"/>
  <c r="V113" i="1"/>
  <c r="C114" i="1"/>
  <c r="D114" i="1"/>
  <c r="E114" i="1"/>
  <c r="F114" i="1" s="1"/>
  <c r="L114" i="1"/>
  <c r="N114" i="1" s="1"/>
  <c r="O114" i="1" s="1"/>
  <c r="M114" i="1"/>
  <c r="U114" i="1"/>
  <c r="V114" i="1"/>
  <c r="W114" i="1"/>
  <c r="X114" i="1" s="1"/>
  <c r="C115" i="1"/>
  <c r="E115" i="1" s="1"/>
  <c r="F115" i="1" s="1"/>
  <c r="D115" i="1"/>
  <c r="H115" i="1"/>
  <c r="I115" i="1"/>
  <c r="J115" i="1"/>
  <c r="L115" i="1"/>
  <c r="M115" i="1"/>
  <c r="N115" i="1" s="1"/>
  <c r="O115" i="1" s="1"/>
  <c r="Q115" i="1"/>
  <c r="R115" i="1"/>
  <c r="S115" i="1"/>
  <c r="U115" i="1"/>
  <c r="W115" i="1" s="1"/>
  <c r="X115" i="1" s="1"/>
  <c r="V115" i="1"/>
  <c r="Z115" i="1"/>
  <c r="AA115" i="1"/>
  <c r="AB115" i="1"/>
  <c r="C116" i="1"/>
  <c r="D116" i="1"/>
  <c r="E116" i="1" s="1"/>
  <c r="F116" i="1" s="1"/>
  <c r="L116" i="1"/>
  <c r="M116" i="1"/>
  <c r="N116" i="1"/>
  <c r="O116" i="1"/>
  <c r="U116" i="1"/>
  <c r="V116" i="1"/>
  <c r="W116" i="1" s="1"/>
  <c r="X116" i="1" s="1"/>
  <c r="C117" i="1"/>
  <c r="D117" i="1"/>
  <c r="E117" i="1"/>
  <c r="F117" i="1"/>
  <c r="L117" i="1"/>
  <c r="M117" i="1"/>
  <c r="N117" i="1" s="1"/>
  <c r="O117" i="1" s="1"/>
  <c r="U117" i="1"/>
  <c r="V117" i="1"/>
  <c r="W117" i="1"/>
  <c r="X117" i="1"/>
  <c r="C118" i="1"/>
  <c r="D118" i="1"/>
  <c r="E118" i="1" s="1"/>
  <c r="F118" i="1" s="1"/>
  <c r="L118" i="1"/>
  <c r="M118" i="1"/>
  <c r="N118" i="1"/>
  <c r="O118" i="1"/>
  <c r="U118" i="1"/>
  <c r="V118" i="1"/>
  <c r="W118" i="1" s="1"/>
  <c r="X118" i="1" s="1"/>
  <c r="C119" i="1"/>
  <c r="D119" i="1"/>
  <c r="E119" i="1"/>
  <c r="F119" i="1"/>
  <c r="L119" i="1"/>
  <c r="M119" i="1"/>
  <c r="N119" i="1" s="1"/>
  <c r="O119" i="1" s="1"/>
  <c r="U119" i="1"/>
  <c r="V119" i="1"/>
  <c r="W119" i="1"/>
  <c r="X119" i="1"/>
  <c r="C120" i="1"/>
  <c r="D120" i="1"/>
  <c r="E120" i="1" s="1"/>
  <c r="F120" i="1" s="1"/>
  <c r="L120" i="1"/>
  <c r="M120" i="1"/>
  <c r="N120" i="1"/>
  <c r="O120" i="1"/>
  <c r="U120" i="1"/>
  <c r="V120" i="1"/>
  <c r="W120" i="1" s="1"/>
  <c r="X120" i="1" s="1"/>
  <c r="C121" i="1"/>
  <c r="D121" i="1"/>
  <c r="E121" i="1"/>
  <c r="F121" i="1"/>
  <c r="H121" i="1"/>
  <c r="I121" i="1"/>
  <c r="J121" i="1"/>
  <c r="L121" i="1"/>
  <c r="N121" i="1" s="1"/>
  <c r="O121" i="1" s="1"/>
  <c r="M121" i="1"/>
  <c r="Q121" i="1"/>
  <c r="R121" i="1"/>
  <c r="S121" i="1"/>
  <c r="U121" i="1"/>
  <c r="V121" i="1"/>
  <c r="W121" i="1" s="1"/>
  <c r="X121" i="1" s="1"/>
  <c r="Z121" i="1"/>
  <c r="AA121" i="1"/>
  <c r="AB121" i="1"/>
  <c r="C122" i="1"/>
  <c r="E122" i="1" s="1"/>
  <c r="F122" i="1" s="1"/>
  <c r="D122" i="1"/>
  <c r="L122" i="1"/>
  <c r="M122" i="1"/>
  <c r="N122" i="1"/>
  <c r="O122" i="1" s="1"/>
  <c r="U122" i="1"/>
  <c r="W122" i="1" s="1"/>
  <c r="X122" i="1" s="1"/>
  <c r="V122" i="1"/>
  <c r="C123" i="1"/>
  <c r="D123" i="1"/>
  <c r="E123" i="1"/>
  <c r="F123" i="1" s="1"/>
  <c r="L123" i="1"/>
  <c r="N123" i="1" s="1"/>
  <c r="O123" i="1" s="1"/>
  <c r="M123" i="1"/>
  <c r="U123" i="1"/>
  <c r="V123" i="1"/>
  <c r="W123" i="1"/>
  <c r="X123" i="1" s="1"/>
  <c r="C124" i="1"/>
  <c r="E124" i="1" s="1"/>
  <c r="F124" i="1" s="1"/>
  <c r="D124" i="1"/>
  <c r="L124" i="1"/>
  <c r="M124" i="1"/>
  <c r="N124" i="1"/>
  <c r="O124" i="1" s="1"/>
  <c r="U124" i="1"/>
  <c r="W124" i="1" s="1"/>
  <c r="X124" i="1" s="1"/>
  <c r="V124" i="1"/>
  <c r="C125" i="1"/>
  <c r="D125" i="1"/>
  <c r="E125" i="1"/>
  <c r="F125" i="1" s="1"/>
  <c r="L125" i="1"/>
  <c r="N125" i="1" s="1"/>
  <c r="O125" i="1" s="1"/>
  <c r="M125" i="1"/>
  <c r="U125" i="1"/>
  <c r="V125" i="1"/>
  <c r="W125" i="1"/>
  <c r="X125" i="1" s="1"/>
  <c r="C126" i="1"/>
  <c r="E126" i="1" s="1"/>
  <c r="F126" i="1" s="1"/>
  <c r="D126" i="1"/>
  <c r="L126" i="1"/>
  <c r="M126" i="1"/>
  <c r="N126" i="1"/>
  <c r="O126" i="1" s="1"/>
  <c r="U126" i="1"/>
  <c r="W126" i="1" s="1"/>
  <c r="X126" i="1" s="1"/>
  <c r="V126" i="1"/>
  <c r="C127" i="1"/>
  <c r="D127" i="1"/>
  <c r="E127" i="1"/>
  <c r="F127" i="1" s="1"/>
  <c r="H127" i="1"/>
  <c r="I127" i="1"/>
  <c r="J127" i="1"/>
  <c r="L127" i="1"/>
  <c r="M127" i="1"/>
  <c r="N127" i="1"/>
  <c r="O127" i="1"/>
  <c r="Q127" i="1"/>
  <c r="R127" i="1"/>
  <c r="S127" i="1"/>
  <c r="U127" i="1"/>
  <c r="W127" i="1" s="1"/>
  <c r="X127" i="1" s="1"/>
  <c r="V127" i="1"/>
  <c r="Z127" i="1"/>
  <c r="AA127" i="1"/>
  <c r="AB127" i="1"/>
  <c r="C128" i="1"/>
  <c r="D128" i="1"/>
  <c r="E128" i="1" s="1"/>
  <c r="F128" i="1" s="1"/>
  <c r="L128" i="1"/>
  <c r="M128" i="1"/>
  <c r="N128" i="1" s="1"/>
  <c r="O128" i="1" s="1"/>
  <c r="U128" i="1"/>
  <c r="V128" i="1"/>
  <c r="W128" i="1" s="1"/>
  <c r="X128" i="1" s="1"/>
  <c r="C129" i="1"/>
  <c r="D129" i="1"/>
  <c r="E129" i="1" s="1"/>
  <c r="F129" i="1" s="1"/>
  <c r="L129" i="1"/>
  <c r="M129" i="1"/>
  <c r="N129" i="1" s="1"/>
  <c r="O129" i="1" s="1"/>
  <c r="U129" i="1"/>
  <c r="V129" i="1"/>
  <c r="W129" i="1" s="1"/>
  <c r="X129" i="1" s="1"/>
  <c r="C130" i="1"/>
  <c r="D130" i="1"/>
  <c r="E130" i="1" s="1"/>
  <c r="F130" i="1" s="1"/>
  <c r="L130" i="1"/>
  <c r="M130" i="1"/>
  <c r="N130" i="1" s="1"/>
  <c r="O130" i="1" s="1"/>
  <c r="U130" i="1"/>
  <c r="V130" i="1"/>
  <c r="W130" i="1" s="1"/>
  <c r="X130" i="1" s="1"/>
  <c r="C131" i="1"/>
  <c r="D131" i="1"/>
  <c r="E131" i="1" s="1"/>
  <c r="F131" i="1" s="1"/>
  <c r="L131" i="1"/>
  <c r="M131" i="1"/>
  <c r="N131" i="1" s="1"/>
  <c r="O131" i="1" s="1"/>
  <c r="U131" i="1"/>
  <c r="V131" i="1"/>
  <c r="W131" i="1" s="1"/>
  <c r="X131" i="1" s="1"/>
  <c r="C132" i="1"/>
  <c r="D132" i="1"/>
  <c r="E132" i="1" s="1"/>
  <c r="F132" i="1" s="1"/>
  <c r="L132" i="1"/>
  <c r="M132" i="1"/>
  <c r="N132" i="1" s="1"/>
  <c r="O132" i="1" s="1"/>
  <c r="U132" i="1"/>
  <c r="V132" i="1"/>
  <c r="W132" i="1" s="1"/>
  <c r="X132" i="1" s="1"/>
  <c r="C133" i="1"/>
  <c r="D133" i="1"/>
  <c r="E133" i="1" s="1"/>
  <c r="F133" i="1" s="1"/>
  <c r="H133" i="1"/>
  <c r="I133" i="1"/>
  <c r="J133" i="1"/>
  <c r="L133" i="1"/>
  <c r="M133" i="1"/>
  <c r="N133" i="1"/>
  <c r="O133" i="1" s="1"/>
  <c r="Q133" i="1"/>
  <c r="R133" i="1"/>
  <c r="S133" i="1"/>
  <c r="U133" i="1"/>
  <c r="V133" i="1"/>
  <c r="W133" i="1"/>
  <c r="X133" i="1"/>
  <c r="Z133" i="1"/>
  <c r="AA133" i="1"/>
  <c r="AB133" i="1"/>
  <c r="C134" i="1"/>
  <c r="D134" i="1"/>
  <c r="E134" i="1" s="1"/>
  <c r="F134" i="1" s="1"/>
  <c r="L134" i="1"/>
  <c r="M134" i="1"/>
  <c r="N134" i="1"/>
  <c r="O134" i="1" s="1"/>
  <c r="U134" i="1"/>
  <c r="V134" i="1"/>
  <c r="W134" i="1" s="1"/>
  <c r="X134" i="1" s="1"/>
  <c r="C135" i="1"/>
  <c r="D135" i="1"/>
  <c r="E135" i="1"/>
  <c r="F135" i="1" s="1"/>
  <c r="L135" i="1"/>
  <c r="M135" i="1"/>
  <c r="N135" i="1" s="1"/>
  <c r="O135" i="1" s="1"/>
  <c r="U135" i="1"/>
  <c r="V135" i="1"/>
  <c r="W135" i="1"/>
  <c r="X135" i="1" s="1"/>
  <c r="C136" i="1"/>
  <c r="D136" i="1"/>
  <c r="E136" i="1" s="1"/>
  <c r="F136" i="1" s="1"/>
  <c r="L136" i="1"/>
  <c r="M136" i="1"/>
  <c r="N136" i="1"/>
  <c r="O136" i="1" s="1"/>
  <c r="U136" i="1"/>
  <c r="V136" i="1"/>
  <c r="W136" i="1" s="1"/>
  <c r="X136" i="1" s="1"/>
  <c r="C137" i="1"/>
  <c r="D137" i="1"/>
  <c r="E137" i="1"/>
  <c r="F137" i="1" s="1"/>
  <c r="L137" i="1"/>
  <c r="M137" i="1"/>
  <c r="N137" i="1" s="1"/>
  <c r="O137" i="1" s="1"/>
  <c r="U137" i="1"/>
  <c r="V137" i="1"/>
  <c r="W137" i="1"/>
  <c r="X137" i="1" s="1"/>
  <c r="C138" i="1"/>
  <c r="D138" i="1"/>
  <c r="E138" i="1" s="1"/>
  <c r="F138" i="1" s="1"/>
  <c r="L138" i="1"/>
  <c r="M138" i="1"/>
  <c r="N138" i="1"/>
  <c r="O138" i="1" s="1"/>
  <c r="U138" i="1"/>
  <c r="V138" i="1"/>
  <c r="W138" i="1" s="1"/>
  <c r="X138" i="1" s="1"/>
</calcChain>
</file>

<file path=xl/sharedStrings.xml><?xml version="1.0" encoding="utf-8"?>
<sst xmlns="http://schemas.openxmlformats.org/spreadsheetml/2006/main" count="1613" uniqueCount="367">
  <si>
    <t>p = 0.4040</t>
  </si>
  <si>
    <t>Sul</t>
  </si>
  <si>
    <t>p = 0.1173</t>
  </si>
  <si>
    <t>p = 0.4987</t>
  </si>
  <si>
    <t>p = 0.0200</t>
  </si>
  <si>
    <t>Sudeste</t>
  </si>
  <si>
    <t>p = 0.1652</t>
  </si>
  <si>
    <t>p = 0.5880</t>
  </si>
  <si>
    <t>p = 0.1657</t>
  </si>
  <si>
    <t>Centro-Oeste</t>
  </si>
  <si>
    <t>&lt;0.0001</t>
  </si>
  <si>
    <t>p = 0.0638</t>
  </si>
  <si>
    <t>p = 0.7753</t>
  </si>
  <si>
    <t>Nordeste</t>
  </si>
  <si>
    <t>p = 0.0082</t>
  </si>
  <si>
    <t>p = 0.0095</t>
  </si>
  <si>
    <t>p = 0.7560</t>
  </si>
  <si>
    <t>Norte</t>
  </si>
  <si>
    <t>p- valor</t>
  </si>
  <si>
    <t>IC95% máximo</t>
  </si>
  <si>
    <t>IC95% minimo</t>
  </si>
  <si>
    <t>VPA%</t>
  </si>
  <si>
    <t>coeficiente regressão</t>
  </si>
  <si>
    <t>Logaritimo natural</t>
  </si>
  <si>
    <t>Mortalidade /100000 hab.</t>
  </si>
  <si>
    <t>óbito</t>
  </si>
  <si>
    <t>população</t>
  </si>
  <si>
    <t>Óbito</t>
  </si>
  <si>
    <t>População</t>
  </si>
  <si>
    <t>ano</t>
  </si>
  <si>
    <t>Região</t>
  </si>
  <si>
    <t>80 ou mais</t>
  </si>
  <si>
    <t>70 - 79</t>
  </si>
  <si>
    <t>60 - 69</t>
  </si>
  <si>
    <t>Brasil</t>
  </si>
  <si>
    <t xml:space="preserve">Faixa etária </t>
  </si>
  <si>
    <t>Y' = a + bX</t>
  </si>
  <si>
    <t>Equação</t>
  </si>
  <si>
    <t>-0.011 a 0.045</t>
  </si>
  <si>
    <t>IC 95% (b)</t>
  </si>
  <si>
    <t>-0.034 a 0.030</t>
  </si>
  <si>
    <t>-0.086 a 0.173</t>
  </si>
  <si>
    <t>-0.006 a 0.038</t>
  </si>
  <si>
    <t>-0.023 a 0.041</t>
  </si>
  <si>
    <t>0.011 a 0.073</t>
  </si>
  <si>
    <t>-0.028 a 0.115</t>
  </si>
  <si>
    <t>-0.103 a 0.159</t>
  </si>
  <si>
    <t>-0.051 a 0.211</t>
  </si>
  <si>
    <t>0.059 a 0.098</t>
  </si>
  <si>
    <t>-0.004 a 0.094</t>
  </si>
  <si>
    <t>-0.076 a 0.095</t>
  </si>
  <si>
    <t>0.023 a 0.083</t>
  </si>
  <si>
    <t>0.023 a 0.092</t>
  </si>
  <si>
    <t>-0.099 a 0.125</t>
  </si>
  <si>
    <t>5.974 a 6.193</t>
  </si>
  <si>
    <t>IC 95% (a)</t>
  </si>
  <si>
    <t>4.088 a 4.336</t>
  </si>
  <si>
    <t>1.228 a 2.235</t>
  </si>
  <si>
    <t>5.848 a 6.019</t>
  </si>
  <si>
    <t>3.855 a 4.105</t>
  </si>
  <si>
    <t>1.520 a 1.761</t>
  </si>
  <si>
    <t>5.508 a 6.062</t>
  </si>
  <si>
    <t>3.372 a 4.391</t>
  </si>
  <si>
    <t>0.889 a 1.911</t>
  </si>
  <si>
    <t>5.109 a 5.263</t>
  </si>
  <si>
    <t>3.247 a 3.631</t>
  </si>
  <si>
    <t>1.072 a 1.739</t>
  </si>
  <si>
    <t>4.850 a 5.085</t>
  </si>
  <si>
    <t>2.988 a 3.253</t>
  </si>
  <si>
    <t>0.502 a 1.374</t>
  </si>
  <si>
    <t>p = 0.1659</t>
  </si>
  <si>
    <t>t = 1.6914</t>
  </si>
  <si>
    <t>Coef. de Regressão (b) =</t>
  </si>
  <si>
    <t>p = 0.8705</t>
  </si>
  <si>
    <t>t = -0.1737</t>
  </si>
  <si>
    <t>t = 0.9322</t>
  </si>
  <si>
    <t>t = 1.9907</t>
  </si>
  <si>
    <t>t = 0.7431</t>
  </si>
  <si>
    <t>t = 3.7456</t>
  </si>
  <si>
    <t>t = 1.6955</t>
  </si>
  <si>
    <t>t = 0.5881</t>
  </si>
  <si>
    <t>t = 1.6925</t>
  </si>
  <si>
    <t>p &lt; 0.0001</t>
  </si>
  <si>
    <t>t = 10.9952</t>
  </si>
  <si>
    <t>t = 2.5423</t>
  </si>
  <si>
    <t>t = 0.3054</t>
  </si>
  <si>
    <t>t = 4.8773</t>
  </si>
  <si>
    <t>t = 4.6740</t>
  </si>
  <si>
    <t>t = 0.3328</t>
  </si>
  <si>
    <t>t = 154.1227</t>
  </si>
  <si>
    <t>Intercepto (a) =</t>
  </si>
  <si>
    <t>t = 93.9330</t>
  </si>
  <si>
    <t>p = 0.0007</t>
  </si>
  <si>
    <t>t = 9.5426</t>
  </si>
  <si>
    <t>t = 193.0032</t>
  </si>
  <si>
    <t>t = 88.5956</t>
  </si>
  <si>
    <t>t = 37.8283</t>
  </si>
  <si>
    <t>t = 57.9890</t>
  </si>
  <si>
    <t>t = 21.1495</t>
  </si>
  <si>
    <t>p = 0.0016</t>
  </si>
  <si>
    <t>t = 7.6053</t>
  </si>
  <si>
    <t>t = 187.0293</t>
  </si>
  <si>
    <t>t = 49.7265</t>
  </si>
  <si>
    <t>t = 11.6877</t>
  </si>
  <si>
    <t>t = 117.0616</t>
  </si>
  <si>
    <t>t = 65.2173</t>
  </si>
  <si>
    <t>p = 0.0040</t>
  </si>
  <si>
    <t>t = 5.9685</t>
  </si>
  <si>
    <t>Coeficiente de Correlação =</t>
  </si>
  <si>
    <t>R2 (ajustado) =</t>
  </si>
  <si>
    <t>Coef. de Determinação (R2) =</t>
  </si>
  <si>
    <t>Média (Y) =</t>
  </si>
  <si>
    <t>Média (X) =</t>
  </si>
  <si>
    <t>Coluna  1</t>
  </si>
  <si>
    <t>Variável independente =</t>
  </si>
  <si>
    <t>Coluna  10</t>
  </si>
  <si>
    <t>Variável dependente =</t>
  </si>
  <si>
    <t>Coluna  9</t>
  </si>
  <si>
    <t>Coluna  8</t>
  </si>
  <si>
    <t>p = 0.1653</t>
  </si>
  <si>
    <t>F (regressão) =</t>
  </si>
  <si>
    <t>p = 0.8640</t>
  </si>
  <si>
    <t>p = 0.5934</t>
  </si>
  <si>
    <t>p = 0.1167</t>
  </si>
  <si>
    <t>p = 0.5023</t>
  </si>
  <si>
    <t>p = 0.0209</t>
  </si>
  <si>
    <t>p = 0.1645</t>
  </si>
  <si>
    <t>p = 0.5908</t>
  </si>
  <si>
    <t>p = 0.1651</t>
  </si>
  <si>
    <t>p = 0.0012</t>
  </si>
  <si>
    <t>p = 0.0637</t>
  </si>
  <si>
    <t>p = 0.7700</t>
  </si>
  <si>
    <t>p = 0.0108</t>
  </si>
  <si>
    <t>p = 0.7517</t>
  </si>
  <si>
    <t>---</t>
  </si>
  <si>
    <t>Total</t>
  </si>
  <si>
    <t>Erro</t>
  </si>
  <si>
    <t>Regressão</t>
  </si>
  <si>
    <t>QM</t>
  </si>
  <si>
    <t>SQ</t>
  </si>
  <si>
    <t>GL</t>
  </si>
  <si>
    <t>Fontes de variação</t>
  </si>
  <si>
    <t>Regressão linear masculina - sul  80 ou &gt;</t>
  </si>
  <si>
    <t>Regressão linear masculina - sul  70-79</t>
  </si>
  <si>
    <t>Regressão linear masculina - sul 60-69</t>
  </si>
  <si>
    <t>Regressão linear geral - sudeste  80 ou &gt;</t>
  </si>
  <si>
    <t>Regressão linear geral - sudeste 70-79</t>
  </si>
  <si>
    <t>Regressão linear geral - sudeste  60-79</t>
  </si>
  <si>
    <t>Regressão linear geral - centro-oeste 80 ou &gt;</t>
  </si>
  <si>
    <t>Regressão linear geral - centro-oeste 70-79</t>
  </si>
  <si>
    <t>Regressão linear geral - centro-oeste 60-69</t>
  </si>
  <si>
    <t>Regressão linear geral - nordeste  80 ou &gt;</t>
  </si>
  <si>
    <t>Regressão linear geral - nordeste 70-79</t>
  </si>
  <si>
    <t>Regressão linear geral - nordeste  60-69</t>
  </si>
  <si>
    <t>Regressão linear geral - norte 80 ou &gt;</t>
  </si>
  <si>
    <t>Regressão linear geral - norte 70-79</t>
  </si>
  <si>
    <t>Regressão linear geral - norte 60-69</t>
  </si>
  <si>
    <t>Faixa etária - Masculina</t>
  </si>
  <si>
    <t>0.000 a 0.057</t>
  </si>
  <si>
    <t>-0.027 a 0.031</t>
  </si>
  <si>
    <t>-0.079 a 0.092</t>
  </si>
  <si>
    <t>0.009 a 0.039</t>
  </si>
  <si>
    <t>-0.003 a 0.042</t>
  </si>
  <si>
    <t>-0.051 a 0.075</t>
  </si>
  <si>
    <t>-0.019 a 0.077</t>
  </si>
  <si>
    <t>-0.046 a 0.042</t>
  </si>
  <si>
    <t>-0.127 a 0.188</t>
  </si>
  <si>
    <t>0.052 a 0.095</t>
  </si>
  <si>
    <t>0.022 a 0.097</t>
  </si>
  <si>
    <t>-0.057 a 0.078</t>
  </si>
  <si>
    <t>-0.042 a 0.160</t>
  </si>
  <si>
    <t>-0.045 a 0.123</t>
  </si>
  <si>
    <t>-0.098 a 0.125</t>
  </si>
  <si>
    <t>6.177 a 6.398</t>
  </si>
  <si>
    <t>4.057 a 4.286</t>
  </si>
  <si>
    <t>1.446 a 2.110</t>
  </si>
  <si>
    <t>6.081 a 6.198</t>
  </si>
  <si>
    <t>3.778 a 3.952</t>
  </si>
  <si>
    <t>1.280 a 1.771</t>
  </si>
  <si>
    <t>5.904 a 6.278</t>
  </si>
  <si>
    <t>3.777 a 4.119</t>
  </si>
  <si>
    <t>0.878 a 2.105</t>
  </si>
  <si>
    <t>5.391 a 5.559</t>
  </si>
  <si>
    <t>3.216 a 3.509</t>
  </si>
  <si>
    <t>0.934 a 1.462</t>
  </si>
  <si>
    <t>4.882 a 5.667</t>
  </si>
  <si>
    <t>2.934 a 3.587</t>
  </si>
  <si>
    <t>0.520 a 1.389</t>
  </si>
  <si>
    <t>p = 0.0476</t>
  </si>
  <si>
    <t>t = 2.8238</t>
  </si>
  <si>
    <t>p = 0.8591</t>
  </si>
  <si>
    <t>t = 0.1893</t>
  </si>
  <si>
    <t>p = 0.8479</t>
  </si>
  <si>
    <t>t = 0.2045</t>
  </si>
  <si>
    <t>p = 0.0114</t>
  </si>
  <si>
    <t>t = 4.4313</t>
  </si>
  <si>
    <t>p = 0.0730</t>
  </si>
  <si>
    <t>t = 2.4158</t>
  </si>
  <si>
    <t>p = 0.6169</t>
  </si>
  <si>
    <t>t = 0.5414</t>
  </si>
  <si>
    <t>p = 0.1702</t>
  </si>
  <si>
    <t>t = 1.6696</t>
  </si>
  <si>
    <t>p = 0.8921</t>
  </si>
  <si>
    <t>t = -0.1445</t>
  </si>
  <si>
    <t>p = 0.6187</t>
  </si>
  <si>
    <t>t = 0.5386</t>
  </si>
  <si>
    <t>t = 9.4694</t>
  </si>
  <si>
    <t>p = 0.0117</t>
  </si>
  <si>
    <t>t = 4.4019</t>
  </si>
  <si>
    <t>p = 0.6869</t>
  </si>
  <si>
    <t>t = 0.4337</t>
  </si>
  <si>
    <t>p = 0.1786</t>
  </si>
  <si>
    <t>t = 1.6290</t>
  </si>
  <si>
    <t>p = 0.2678</t>
  </si>
  <si>
    <t>t = 1.2860</t>
  </si>
  <si>
    <t>p = 0.7551</t>
  </si>
  <si>
    <t>t = 0.3340</t>
  </si>
  <si>
    <t>t = 157.9784</t>
  </si>
  <si>
    <t>t = 101.3820</t>
  </si>
  <si>
    <t>t = 14.8562</t>
  </si>
  <si>
    <t>t = 291.0687</t>
  </si>
  <si>
    <t>t = 123.4116</t>
  </si>
  <si>
    <t>t = 17.2610</t>
  </si>
  <si>
    <t>t = 90.4871</t>
  </si>
  <si>
    <t>t = 64.0997</t>
  </si>
  <si>
    <t>p = 0.0025</t>
  </si>
  <si>
    <t>t = 6.7465</t>
  </si>
  <si>
    <t>t = 180.6068</t>
  </si>
  <si>
    <t>t = 63.6499</t>
  </si>
  <si>
    <t>t = 12.6196</t>
  </si>
  <si>
    <t>t = 37.3050</t>
  </si>
  <si>
    <t>t = 27.7092</t>
  </si>
  <si>
    <t>p = 0.0037</t>
  </si>
  <si>
    <t>t = 6.0978</t>
  </si>
  <si>
    <t>Coluna  2</t>
  </si>
  <si>
    <t>Coluna  7</t>
  </si>
  <si>
    <t>Coluna  6</t>
  </si>
  <si>
    <t>Coluna  5</t>
  </si>
  <si>
    <t>p = 0.0478</t>
  </si>
  <si>
    <t>p = 0.8523</t>
  </si>
  <si>
    <t>p = 0.8409</t>
  </si>
  <si>
    <t>p = 0.0126</t>
  </si>
  <si>
    <t>p = 0.0729</t>
  </si>
  <si>
    <t>p = 0.6191</t>
  </si>
  <si>
    <t>p = 0.1696</t>
  </si>
  <si>
    <t>p = 0.8866</t>
  </si>
  <si>
    <t>p = 0.6208</t>
  </si>
  <si>
    <t>p = 0.0129</t>
  </si>
  <si>
    <t>p = 0.6863</t>
  </si>
  <si>
    <t>p = 0.1779</t>
  </si>
  <si>
    <t>p = 0.2677</t>
  </si>
  <si>
    <t>p = 0.7509</t>
  </si>
  <si>
    <t>Regressão linear geral - sul 80 ou &gt;</t>
  </si>
  <si>
    <t>Regressão linear geral - sul  70-79</t>
  </si>
  <si>
    <t>Regressão linear geral - sul 60-69</t>
  </si>
  <si>
    <t>Regressão linear geral - nordeste 80 ou &gt;</t>
  </si>
  <si>
    <t>Regressão linear geral - nordeste 60-69</t>
  </si>
  <si>
    <t xml:space="preserve">80 ou mais </t>
  </si>
  <si>
    <t xml:space="preserve">70 - 79 </t>
  </si>
  <si>
    <t xml:space="preserve">60 - 69 </t>
  </si>
  <si>
    <t>Faixa etária - feminina</t>
  </si>
  <si>
    <t>0.015 a 0.079</t>
  </si>
  <si>
    <t>0.026 a 0.066</t>
  </si>
  <si>
    <t>-0.009 a 0.151</t>
  </si>
  <si>
    <t>0.060 a 0.122</t>
  </si>
  <si>
    <t>0.057 a 0.110</t>
  </si>
  <si>
    <t>0.025 a 0.079</t>
  </si>
  <si>
    <t>0.035 a 0.065</t>
  </si>
  <si>
    <t>0.015 a 0.110</t>
  </si>
  <si>
    <t>0.080 a 0.115</t>
  </si>
  <si>
    <t>-0.003 a 0.173</t>
  </si>
  <si>
    <t>0.023 a 0.079</t>
  </si>
  <si>
    <t>0.033 a 0.063</t>
  </si>
  <si>
    <t>0.013 a 0.122</t>
  </si>
  <si>
    <t>0.073 a 0.117</t>
  </si>
  <si>
    <t>0.021 a 0.145</t>
  </si>
  <si>
    <t>2.068 a 2.317</t>
  </si>
  <si>
    <t>1.979 a 2.137</t>
  </si>
  <si>
    <t>1.365 a 1.988</t>
  </si>
  <si>
    <t>1.252 a 1.493</t>
  </si>
  <si>
    <t>0.557 a 0.766</t>
  </si>
  <si>
    <t>2.654 a 2.862</t>
  </si>
  <si>
    <t>2.567 a 2.686</t>
  </si>
  <si>
    <t>1.906 a 2.273</t>
  </si>
  <si>
    <t>1.788 a 1.925</t>
  </si>
  <si>
    <t>0.745 a 1.432</t>
  </si>
  <si>
    <t>2.408 a 2.624</t>
  </si>
  <si>
    <t>2.333 a 2.451</t>
  </si>
  <si>
    <t>1.692 a 2.116</t>
  </si>
  <si>
    <t>1.564 a 1.733</t>
  </si>
  <si>
    <t>0.663 a 1.144</t>
  </si>
  <si>
    <t>p = 0.0153</t>
  </si>
  <si>
    <t>t = 4.0629</t>
  </si>
  <si>
    <t>p = 0.0031</t>
  </si>
  <si>
    <t>t = 6.3591</t>
  </si>
  <si>
    <t>p = 0.0681</t>
  </si>
  <si>
    <t>t = 2.4804</t>
  </si>
  <si>
    <t>t = 8.1705</t>
  </si>
  <si>
    <t>p = 0.0010</t>
  </si>
  <si>
    <t>t = 8.6395</t>
  </si>
  <si>
    <t>p = 0.0057</t>
  </si>
  <si>
    <t>t = 5.4046</t>
  </si>
  <si>
    <t>p = 0.0008</t>
  </si>
  <si>
    <t>t = 9.0571</t>
  </si>
  <si>
    <t>p = 0.0211</t>
  </si>
  <si>
    <t>t = 3.6864</t>
  </si>
  <si>
    <t>t = 15.3858</t>
  </si>
  <si>
    <t>p = 0.0552</t>
  </si>
  <si>
    <t>t = 2.6797</t>
  </si>
  <si>
    <t>p = 0.0069</t>
  </si>
  <si>
    <t>t = 5.1227</t>
  </si>
  <si>
    <t>p = 0.0009</t>
  </si>
  <si>
    <t>t = 8.8056</t>
  </si>
  <si>
    <t>p = 0.0262</t>
  </si>
  <si>
    <t>t = 3.4439</t>
  </si>
  <si>
    <t>t = 12.1811</t>
  </si>
  <si>
    <t>p = 0.0203</t>
  </si>
  <si>
    <t>t = 3.7274</t>
  </si>
  <si>
    <t>t = 48.8192</t>
  </si>
  <si>
    <t>t = 72.6016</t>
  </si>
  <si>
    <t>t = 14.9506</t>
  </si>
  <si>
    <t>t = 31.5972</t>
  </si>
  <si>
    <t>t = 17.5852</t>
  </si>
  <si>
    <t>t = 73.6056</t>
  </si>
  <si>
    <t>t = 122.1742</t>
  </si>
  <si>
    <t>t = 31.6071</t>
  </si>
  <si>
    <t>t = 75.5090</t>
  </si>
  <si>
    <t>t = 8.7979</t>
  </si>
  <si>
    <t>t = 64.7107</t>
  </si>
  <si>
    <t>t = 112.6765</t>
  </si>
  <si>
    <t>t = 24.9704</t>
  </si>
  <si>
    <t>t = 54.1999</t>
  </si>
  <si>
    <t>t = 10.4345</t>
  </si>
  <si>
    <t>Ano</t>
  </si>
  <si>
    <t>Coluna  4</t>
  </si>
  <si>
    <t>Coluna  3</t>
  </si>
  <si>
    <t>logaritimo natural</t>
  </si>
  <si>
    <t>p = 0.0164</t>
  </si>
  <si>
    <t>p = 0.0044</t>
  </si>
  <si>
    <t>p = 0.0680</t>
  </si>
  <si>
    <t>p = 0.0023</t>
  </si>
  <si>
    <t>p = 0.0020</t>
  </si>
  <si>
    <t>p = 0.0070</t>
  </si>
  <si>
    <t>p = 0.0018</t>
  </si>
  <si>
    <t>p = 0.0220</t>
  </si>
  <si>
    <t>p = 0.0553</t>
  </si>
  <si>
    <t>p = 0.0019</t>
  </si>
  <si>
    <t>p = 0.0269</t>
  </si>
  <si>
    <t>p = 0.0213</t>
  </si>
  <si>
    <t>Regressão linear geral masculina - sul</t>
  </si>
  <si>
    <t>Regressão linear geral masculina - sudeste</t>
  </si>
  <si>
    <t>Regressão linear geral masculina - Centro-Oeste</t>
  </si>
  <si>
    <t>Regressão linear geral masculina - nordeste</t>
  </si>
  <si>
    <t>Regressão linear geral masculina - norte</t>
  </si>
  <si>
    <t>Regressão linear geral feminina - sul</t>
  </si>
  <si>
    <t>Regressão linear geral feminina - sudeste</t>
  </si>
  <si>
    <t>Regressão linear geral feminina - Centro-Oeste</t>
  </si>
  <si>
    <t>Regressão linear geral feminina- nordeste</t>
  </si>
  <si>
    <t>Regressão linear geral feminina - norte</t>
  </si>
  <si>
    <t>Regressão linear geral - sul</t>
  </si>
  <si>
    <t>Regressão linear geral - sudeste</t>
  </si>
  <si>
    <t>Regressão linear geral - Centro-Oeste</t>
  </si>
  <si>
    <t>Regressão linear geral - nordeste</t>
  </si>
  <si>
    <t>Regressão linear geral - norte</t>
  </si>
  <si>
    <t xml:space="preserve">Masculina </t>
  </si>
  <si>
    <t xml:space="preserve">Feminina </t>
  </si>
  <si>
    <t xml:space="preserve">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</si>
</sst>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rgb="FF000000"/>
      <name val="Garamond"/>
      <family val="1"/>
    </font>
    <font>
      <b/>
      <sz val="7"/>
      <color theme="1"/>
      <name val="Garamond"/>
      <family val="1"/>
    </font>
    <font>
      <b/>
      <sz val="8"/>
      <color theme="1"/>
      <name val="Arial Nova"/>
      <family val="2"/>
    </font>
    <font>
      <b/>
      <sz val="8"/>
      <color theme="1"/>
      <name val="Garamond"/>
      <family val="1"/>
    </font>
    <font>
      <b/>
      <sz val="7"/>
      <color rgb="FF000000"/>
      <name val="Garamond"/>
      <family val="1"/>
    </font>
    <font>
      <b/>
      <sz val="8"/>
      <color rgb="FF000000"/>
      <name val="Arial Nova"/>
      <family val="2"/>
    </font>
    <font>
      <b/>
      <sz val="7.5"/>
      <color rgb="FF000000"/>
      <name val="Garamond"/>
      <family val="1"/>
    </font>
    <font>
      <b/>
      <sz val="6"/>
      <color rgb="FF000000"/>
      <name val="Garamond"/>
      <family val="1"/>
    </font>
    <font>
      <b/>
      <sz val="9"/>
      <color theme="1"/>
      <name val="Arial Nova"/>
      <family val="2"/>
    </font>
    <font>
      <b/>
      <sz val="7.5"/>
      <color theme="1"/>
      <name val="Garamond"/>
      <family val="1"/>
    </font>
    <font>
      <b/>
      <sz val="7"/>
      <color rgb="FF000000"/>
      <name val="Arial Nova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2" fontId="4" fillId="3" borderId="2" xfId="1" applyNumberFormat="1" applyFont="1" applyFill="1" applyBorder="1" applyAlignment="1">
      <alignment horizontal="center" vertical="center" wrapText="1"/>
    </xf>
    <xf numFmtId="2" fontId="5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textRotation="90" wrapText="1"/>
    </xf>
    <xf numFmtId="0" fontId="3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textRotation="90" wrapText="1"/>
    </xf>
    <xf numFmtId="0" fontId="3" fillId="2" borderId="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textRotation="90" wrapText="1"/>
    </xf>
    <xf numFmtId="0" fontId="3" fillId="4" borderId="1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textRotation="90" wrapText="1"/>
    </xf>
    <xf numFmtId="0" fontId="3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textRotation="90" wrapText="1"/>
    </xf>
    <xf numFmtId="0" fontId="3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textRotation="90" wrapText="1"/>
    </xf>
    <xf numFmtId="0" fontId="6" fillId="5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5" fontId="5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64" fontId="3" fillId="4" borderId="4" xfId="0" applyNumberFormat="1" applyFont="1" applyFill="1" applyBorder="1" applyAlignment="1">
      <alignment horizontal="center" vertical="center" wrapText="1"/>
    </xf>
    <xf numFmtId="164" fontId="3" fillId="4" borderId="5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10" fillId="0" borderId="0" xfId="0" applyFont="1"/>
    <xf numFmtId="164" fontId="11" fillId="2" borderId="1" xfId="0" applyNumberFormat="1" applyFont="1" applyFill="1" applyBorder="1" applyAlignment="1">
      <alignment horizontal="center" vertical="center" wrapText="1"/>
    </xf>
    <xf numFmtId="2" fontId="4" fillId="6" borderId="2" xfId="1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textRotation="90" wrapText="1"/>
    </xf>
    <xf numFmtId="164" fontId="11" fillId="2" borderId="4" xfId="0" applyNumberFormat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textRotation="90" wrapText="1"/>
    </xf>
    <xf numFmtId="164" fontId="11" fillId="2" borderId="5" xfId="0" applyNumberFormat="1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textRotation="90" wrapText="1"/>
    </xf>
    <xf numFmtId="164" fontId="11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textRotation="90" wrapText="1"/>
    </xf>
    <xf numFmtId="164" fontId="11" fillId="4" borderId="4" xfId="0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textRotation="90" wrapText="1"/>
    </xf>
    <xf numFmtId="164" fontId="11" fillId="4" borderId="5" xfId="0" applyNumberFormat="1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textRotation="90" wrapText="1"/>
    </xf>
    <xf numFmtId="2" fontId="0" fillId="0" borderId="2" xfId="0" applyNumberFormat="1" applyBorder="1"/>
    <xf numFmtId="2" fontId="11" fillId="4" borderId="1" xfId="0" applyNumberFormat="1" applyFont="1" applyFill="1" applyBorder="1" applyAlignment="1">
      <alignment horizontal="center" vertical="center" wrapText="1"/>
    </xf>
    <xf numFmtId="2" fontId="11" fillId="4" borderId="4" xfId="0" applyNumberFormat="1" applyFont="1" applyFill="1" applyBorder="1" applyAlignment="1">
      <alignment horizontal="center" vertical="center" wrapText="1"/>
    </xf>
    <xf numFmtId="2" fontId="11" fillId="4" borderId="5" xfId="0" applyNumberFormat="1" applyFont="1" applyFill="1" applyBorder="1" applyAlignment="1">
      <alignment horizontal="center" vertical="center" wrapText="1"/>
    </xf>
    <xf numFmtId="2" fontId="11" fillId="2" borderId="1" xfId="0" applyNumberFormat="1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vertical="center" wrapText="1"/>
    </xf>
    <xf numFmtId="2" fontId="11" fillId="2" borderId="4" xfId="0" applyNumberFormat="1" applyFont="1" applyFill="1" applyBorder="1" applyAlignment="1">
      <alignment horizontal="center" vertical="center" wrapText="1"/>
    </xf>
    <xf numFmtId="164" fontId="11" fillId="2" borderId="4" xfId="0" applyNumberFormat="1" applyFont="1" applyFill="1" applyBorder="1" applyAlignment="1">
      <alignment vertical="center" wrapText="1"/>
    </xf>
    <xf numFmtId="2" fontId="11" fillId="2" borderId="5" xfId="0" applyNumberFormat="1" applyFont="1" applyFill="1" applyBorder="1" applyAlignment="1">
      <alignment horizontal="center" vertical="center" wrapText="1"/>
    </xf>
    <xf numFmtId="164" fontId="11" fillId="2" borderId="5" xfId="0" applyNumberFormat="1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textRotation="90" wrapText="1"/>
    </xf>
    <xf numFmtId="0" fontId="5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textRotation="90" wrapText="1"/>
    </xf>
    <xf numFmtId="0" fontId="5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textRotation="90" wrapText="1"/>
    </xf>
    <xf numFmtId="0" fontId="5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textRotation="90" wrapText="1"/>
    </xf>
    <xf numFmtId="0" fontId="5" fillId="4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textRotation="90" wrapText="1"/>
    </xf>
    <xf numFmtId="166" fontId="5" fillId="4" borderId="1" xfId="0" applyNumberFormat="1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166" fontId="5" fillId="4" borderId="5" xfId="0" applyNumberFormat="1" applyFont="1" applyFill="1" applyBorder="1" applyAlignment="1">
      <alignment horizontal="center" vertical="center" wrapText="1"/>
    </xf>
    <xf numFmtId="166" fontId="5" fillId="2" borderId="1" xfId="0" applyNumberFormat="1" applyFont="1" applyFill="1" applyBorder="1" applyAlignment="1">
      <alignment horizontal="center" vertical="center" wrapText="1"/>
    </xf>
    <xf numFmtId="166" fontId="5" fillId="2" borderId="4" xfId="0" applyNumberFormat="1" applyFont="1" applyFill="1" applyBorder="1" applyAlignment="1">
      <alignment horizontal="center" vertical="center" wrapText="1"/>
    </xf>
    <xf numFmtId="166" fontId="5" fillId="2" borderId="5" xfId="0" applyNumberFormat="1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38</xdr:col>
      <xdr:colOff>104775</xdr:colOff>
      <xdr:row>53</xdr:row>
      <xdr:rowOff>76201</xdr:rowOff>
    </xdr:from>
    <xdr:ext cx="2873828" cy="2498201"/>
    <xdr:pic>
      <xdr:nvPicPr>
        <xdr:cNvPr id="2" name="Imagem 1">
          <a:extLst>
            <a:ext uri="{FF2B5EF4-FFF2-40B4-BE49-F238E27FC236}">
              <a16:creationId xmlns:a16="http://schemas.microsoft.com/office/drawing/2014/main" id="{DA93BC67-EE02-4F3B-A525-41A9A29F3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69575" y="9768841"/>
          <a:ext cx="2873828" cy="2498201"/>
        </a:xfrm>
        <a:prstGeom prst="rect">
          <a:avLst/>
        </a:prstGeom>
      </xdr:spPr>
    </xdr:pic>
    <xdr:clientData/>
  </xdr:oneCellAnchor>
  <xdr:oneCellAnchor>
    <xdr:from>
      <xdr:col>30</xdr:col>
      <xdr:colOff>171450</xdr:colOff>
      <xdr:row>19</xdr:row>
      <xdr:rowOff>47626</xdr:rowOff>
    </xdr:from>
    <xdr:ext cx="3303815" cy="2865350"/>
    <xdr:pic>
      <xdr:nvPicPr>
        <xdr:cNvPr id="3" name="Imagem 2">
          <a:extLst>
            <a:ext uri="{FF2B5EF4-FFF2-40B4-BE49-F238E27FC236}">
              <a16:creationId xmlns:a16="http://schemas.microsoft.com/office/drawing/2014/main" id="{ED48A865-3712-4E96-BA99-BA88D3A57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59450" y="3522346"/>
          <a:ext cx="3303815" cy="2865350"/>
        </a:xfrm>
        <a:prstGeom prst="rect">
          <a:avLst/>
        </a:prstGeom>
      </xdr:spPr>
    </xdr:pic>
    <xdr:clientData/>
  </xdr:oneCellAnchor>
  <xdr:oneCellAnchor>
    <xdr:from>
      <xdr:col>50</xdr:col>
      <xdr:colOff>57150</xdr:colOff>
      <xdr:row>19</xdr:row>
      <xdr:rowOff>85725</xdr:rowOff>
    </xdr:from>
    <xdr:ext cx="2971800" cy="2578580"/>
    <xdr:pic>
      <xdr:nvPicPr>
        <xdr:cNvPr id="4" name="Imagem 3">
          <a:extLst>
            <a:ext uri="{FF2B5EF4-FFF2-40B4-BE49-F238E27FC236}">
              <a16:creationId xmlns:a16="http://schemas.microsoft.com/office/drawing/2014/main" id="{93767115-8438-45A5-93DA-E2ABD257F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537150" y="3560445"/>
          <a:ext cx="2971800" cy="2578580"/>
        </a:xfrm>
        <a:prstGeom prst="rect">
          <a:avLst/>
        </a:prstGeom>
      </xdr:spPr>
    </xdr:pic>
    <xdr:clientData/>
  </xdr:oneCellAnchor>
  <xdr:oneCellAnchor>
    <xdr:from>
      <xdr:col>70</xdr:col>
      <xdr:colOff>0</xdr:colOff>
      <xdr:row>19</xdr:row>
      <xdr:rowOff>85726</xdr:rowOff>
    </xdr:from>
    <xdr:ext cx="3103789" cy="2704592"/>
    <xdr:pic>
      <xdr:nvPicPr>
        <xdr:cNvPr id="5" name="Imagem 4">
          <a:extLst>
            <a:ext uri="{FF2B5EF4-FFF2-40B4-BE49-F238E27FC236}">
              <a16:creationId xmlns:a16="http://schemas.microsoft.com/office/drawing/2014/main" id="{DAE6BB00-5BDF-4065-AEEC-D4628F405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00" y="3560446"/>
          <a:ext cx="3103789" cy="2704592"/>
        </a:xfrm>
        <a:prstGeom prst="rect">
          <a:avLst/>
        </a:prstGeom>
      </xdr:spPr>
    </xdr:pic>
    <xdr:clientData/>
  </xdr:oneCellAnchor>
  <xdr:oneCellAnchor>
    <xdr:from>
      <xdr:col>30</xdr:col>
      <xdr:colOff>171450</xdr:colOff>
      <xdr:row>53</xdr:row>
      <xdr:rowOff>95250</xdr:rowOff>
    </xdr:from>
    <xdr:ext cx="3179990" cy="2759496"/>
    <xdr:pic>
      <xdr:nvPicPr>
        <xdr:cNvPr id="6" name="Imagem 5">
          <a:extLst>
            <a:ext uri="{FF2B5EF4-FFF2-40B4-BE49-F238E27FC236}">
              <a16:creationId xmlns:a16="http://schemas.microsoft.com/office/drawing/2014/main" id="{45910639-CFEE-4D5F-97CF-BC582F3BC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459450" y="9787890"/>
          <a:ext cx="3179990" cy="2759496"/>
        </a:xfrm>
        <a:prstGeom prst="rect">
          <a:avLst/>
        </a:prstGeom>
      </xdr:spPr>
    </xdr:pic>
    <xdr:clientData/>
  </xdr:oneCellAnchor>
  <xdr:oneCellAnchor>
    <xdr:from>
      <xdr:col>34</xdr:col>
      <xdr:colOff>66675</xdr:colOff>
      <xdr:row>53</xdr:row>
      <xdr:rowOff>38101</xdr:rowOff>
    </xdr:from>
    <xdr:ext cx="3071132" cy="2666997"/>
    <xdr:pic>
      <xdr:nvPicPr>
        <xdr:cNvPr id="7" name="Imagem 6">
          <a:extLst>
            <a:ext uri="{FF2B5EF4-FFF2-40B4-BE49-F238E27FC236}">
              <a16:creationId xmlns:a16="http://schemas.microsoft.com/office/drawing/2014/main" id="{2E34D821-2EF3-4A5A-9171-3DC7E655C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793075" y="9730741"/>
          <a:ext cx="3071132" cy="2666997"/>
        </a:xfrm>
        <a:prstGeom prst="rect">
          <a:avLst/>
        </a:prstGeom>
      </xdr:spPr>
    </xdr:pic>
    <xdr:clientData/>
  </xdr:oneCellAnchor>
  <xdr:oneCellAnchor>
    <xdr:from>
      <xdr:col>30</xdr:col>
      <xdr:colOff>285751</xdr:colOff>
      <xdr:row>89</xdr:row>
      <xdr:rowOff>77084</xdr:rowOff>
    </xdr:from>
    <xdr:ext cx="3179990" cy="2759496"/>
    <xdr:pic>
      <xdr:nvPicPr>
        <xdr:cNvPr id="8" name="Imagem 7">
          <a:extLst>
            <a:ext uri="{FF2B5EF4-FFF2-40B4-BE49-F238E27FC236}">
              <a16:creationId xmlns:a16="http://schemas.microsoft.com/office/drawing/2014/main" id="{CF612C18-3F81-4D0F-9DAD-DDBB8E56A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573751" y="16353404"/>
          <a:ext cx="3179990" cy="2759496"/>
        </a:xfrm>
        <a:prstGeom prst="rect">
          <a:avLst/>
        </a:prstGeom>
      </xdr:spPr>
    </xdr:pic>
    <xdr:clientData/>
  </xdr:oneCellAnchor>
  <xdr:oneCellAnchor>
    <xdr:from>
      <xdr:col>34</xdr:col>
      <xdr:colOff>180975</xdr:colOff>
      <xdr:row>89</xdr:row>
      <xdr:rowOff>57150</xdr:rowOff>
    </xdr:from>
    <xdr:ext cx="3033032" cy="2634846"/>
    <xdr:pic>
      <xdr:nvPicPr>
        <xdr:cNvPr id="9" name="Imagem 8">
          <a:extLst>
            <a:ext uri="{FF2B5EF4-FFF2-40B4-BE49-F238E27FC236}">
              <a16:creationId xmlns:a16="http://schemas.microsoft.com/office/drawing/2014/main" id="{FF530BF5-1469-45D6-A066-D5DDAC016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907375" y="16333470"/>
          <a:ext cx="3033032" cy="2634846"/>
        </a:xfrm>
        <a:prstGeom prst="rect">
          <a:avLst/>
        </a:prstGeom>
      </xdr:spPr>
    </xdr:pic>
    <xdr:clientData/>
  </xdr:oneCellAnchor>
  <xdr:oneCellAnchor>
    <xdr:from>
      <xdr:col>38</xdr:col>
      <xdr:colOff>28575</xdr:colOff>
      <xdr:row>89</xdr:row>
      <xdr:rowOff>47626</xdr:rowOff>
    </xdr:from>
    <xdr:ext cx="3102428" cy="2695193"/>
    <xdr:pic>
      <xdr:nvPicPr>
        <xdr:cNvPr id="10" name="Imagem 9">
          <a:extLst>
            <a:ext uri="{FF2B5EF4-FFF2-40B4-BE49-F238E27FC236}">
              <a16:creationId xmlns:a16="http://schemas.microsoft.com/office/drawing/2014/main" id="{81B1D30B-5537-4B75-9B15-8AD3B0E60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193375" y="16323946"/>
          <a:ext cx="3102428" cy="2695193"/>
        </a:xfrm>
        <a:prstGeom prst="rect">
          <a:avLst/>
        </a:prstGeom>
      </xdr:spPr>
    </xdr:pic>
    <xdr:clientData/>
  </xdr:oneCellAnchor>
  <xdr:oneCellAnchor>
    <xdr:from>
      <xdr:col>34</xdr:col>
      <xdr:colOff>123825</xdr:colOff>
      <xdr:row>19</xdr:row>
      <xdr:rowOff>57150</xdr:rowOff>
    </xdr:from>
    <xdr:ext cx="2966357" cy="2578580"/>
    <xdr:pic>
      <xdr:nvPicPr>
        <xdr:cNvPr id="11" name="Imagem 10">
          <a:extLst>
            <a:ext uri="{FF2B5EF4-FFF2-40B4-BE49-F238E27FC236}">
              <a16:creationId xmlns:a16="http://schemas.microsoft.com/office/drawing/2014/main" id="{0F3D6227-351E-41CF-A7E9-BCCFF4B9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850225" y="3531870"/>
          <a:ext cx="2966357" cy="2578580"/>
        </a:xfrm>
        <a:prstGeom prst="rect">
          <a:avLst/>
        </a:prstGeom>
      </xdr:spPr>
    </xdr:pic>
    <xdr:clientData/>
  </xdr:oneCellAnchor>
  <xdr:oneCellAnchor>
    <xdr:from>
      <xdr:col>54</xdr:col>
      <xdr:colOff>104775</xdr:colOff>
      <xdr:row>19</xdr:row>
      <xdr:rowOff>66675</xdr:rowOff>
    </xdr:from>
    <xdr:ext cx="3005818" cy="2610732"/>
    <xdr:pic>
      <xdr:nvPicPr>
        <xdr:cNvPr id="12" name="Imagem 11">
          <a:extLst>
            <a:ext uri="{FF2B5EF4-FFF2-40B4-BE49-F238E27FC236}">
              <a16:creationId xmlns:a16="http://schemas.microsoft.com/office/drawing/2014/main" id="{57C4CECF-1943-45A1-9917-0A95D6174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3023175" y="3541395"/>
          <a:ext cx="3005818" cy="2610732"/>
        </a:xfrm>
        <a:prstGeom prst="rect">
          <a:avLst/>
        </a:prstGeom>
      </xdr:spPr>
    </xdr:pic>
    <xdr:clientData/>
  </xdr:oneCellAnchor>
  <xdr:oneCellAnchor>
    <xdr:from>
      <xdr:col>74</xdr:col>
      <xdr:colOff>266700</xdr:colOff>
      <xdr:row>19</xdr:row>
      <xdr:rowOff>85726</xdr:rowOff>
    </xdr:from>
    <xdr:ext cx="3075215" cy="2664402"/>
    <xdr:pic>
      <xdr:nvPicPr>
        <xdr:cNvPr id="13" name="Imagem 12">
          <a:extLst>
            <a:ext uri="{FF2B5EF4-FFF2-40B4-BE49-F238E27FC236}">
              <a16:creationId xmlns:a16="http://schemas.microsoft.com/office/drawing/2014/main" id="{9DDCFE19-F81A-4ACC-85CD-30C8ABFE2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5377100" y="3560446"/>
          <a:ext cx="3075215" cy="2664402"/>
        </a:xfrm>
        <a:prstGeom prst="rect">
          <a:avLst/>
        </a:prstGeom>
      </xdr:spPr>
    </xdr:pic>
    <xdr:clientData/>
  </xdr:oneCellAnchor>
  <xdr:oneCellAnchor>
    <xdr:from>
      <xdr:col>42</xdr:col>
      <xdr:colOff>180975</xdr:colOff>
      <xdr:row>53</xdr:row>
      <xdr:rowOff>53009</xdr:rowOff>
    </xdr:from>
    <xdr:ext cx="2913289" cy="2522315"/>
    <xdr:pic>
      <xdr:nvPicPr>
        <xdr:cNvPr id="14" name="Imagem 13">
          <a:extLst>
            <a:ext uri="{FF2B5EF4-FFF2-40B4-BE49-F238E27FC236}">
              <a16:creationId xmlns:a16="http://schemas.microsoft.com/office/drawing/2014/main" id="{8304F8B0-F5AF-454B-9BFD-1F6D861C8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5784175" y="9745649"/>
          <a:ext cx="2913289" cy="2522315"/>
        </a:xfrm>
        <a:prstGeom prst="rect">
          <a:avLst/>
        </a:prstGeom>
      </xdr:spPr>
    </xdr:pic>
    <xdr:clientData/>
  </xdr:oneCellAnchor>
  <xdr:oneCellAnchor>
    <xdr:from>
      <xdr:col>46</xdr:col>
      <xdr:colOff>142875</xdr:colOff>
      <xdr:row>53</xdr:row>
      <xdr:rowOff>85725</xdr:rowOff>
    </xdr:from>
    <xdr:ext cx="3113314" cy="2695193"/>
    <xdr:pic>
      <xdr:nvPicPr>
        <xdr:cNvPr id="15" name="Imagem 14">
          <a:extLst>
            <a:ext uri="{FF2B5EF4-FFF2-40B4-BE49-F238E27FC236}">
              <a16:creationId xmlns:a16="http://schemas.microsoft.com/office/drawing/2014/main" id="{D11734C9-39D4-4150-BC3D-A77333C94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8184475" y="9778365"/>
          <a:ext cx="3113314" cy="2695193"/>
        </a:xfrm>
        <a:prstGeom prst="rect">
          <a:avLst/>
        </a:prstGeom>
      </xdr:spPr>
    </xdr:pic>
    <xdr:clientData/>
  </xdr:oneCellAnchor>
  <xdr:oneCellAnchor>
    <xdr:from>
      <xdr:col>50</xdr:col>
      <xdr:colOff>190500</xdr:colOff>
      <xdr:row>53</xdr:row>
      <xdr:rowOff>46138</xdr:rowOff>
    </xdr:from>
    <xdr:ext cx="3106511" cy="2695193"/>
    <xdr:pic>
      <xdr:nvPicPr>
        <xdr:cNvPr id="16" name="Imagem 15">
          <a:extLst>
            <a:ext uri="{FF2B5EF4-FFF2-40B4-BE49-F238E27FC236}">
              <a16:creationId xmlns:a16="http://schemas.microsoft.com/office/drawing/2014/main" id="{BCDCAE84-9175-42A6-B245-A5CBE09C6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0670500" y="9738778"/>
          <a:ext cx="3106511" cy="2695193"/>
        </a:xfrm>
        <a:prstGeom prst="rect">
          <a:avLst/>
        </a:prstGeom>
      </xdr:spPr>
    </xdr:pic>
    <xdr:clientData/>
  </xdr:oneCellAnchor>
  <xdr:oneCellAnchor>
    <xdr:from>
      <xdr:col>42</xdr:col>
      <xdr:colOff>85726</xdr:colOff>
      <xdr:row>89</xdr:row>
      <xdr:rowOff>43164</xdr:rowOff>
    </xdr:from>
    <xdr:ext cx="3094264" cy="2675035"/>
    <xdr:pic>
      <xdr:nvPicPr>
        <xdr:cNvPr id="17" name="Imagem 16">
          <a:extLst>
            <a:ext uri="{FF2B5EF4-FFF2-40B4-BE49-F238E27FC236}">
              <a16:creationId xmlns:a16="http://schemas.microsoft.com/office/drawing/2014/main" id="{DC8BA856-8325-459D-9BB4-3AA9FF000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5688926" y="16319484"/>
          <a:ext cx="3094264" cy="2675035"/>
        </a:xfrm>
        <a:prstGeom prst="rect">
          <a:avLst/>
        </a:prstGeom>
      </xdr:spPr>
    </xdr:pic>
    <xdr:clientData/>
  </xdr:oneCellAnchor>
  <xdr:oneCellAnchor>
    <xdr:from>
      <xdr:col>46</xdr:col>
      <xdr:colOff>161277</xdr:colOff>
      <xdr:row>89</xdr:row>
      <xdr:rowOff>47625</xdr:rowOff>
    </xdr:from>
    <xdr:ext cx="3100867" cy="2684689"/>
    <xdr:pic>
      <xdr:nvPicPr>
        <xdr:cNvPr id="18" name="Imagem 17">
          <a:extLst>
            <a:ext uri="{FF2B5EF4-FFF2-40B4-BE49-F238E27FC236}">
              <a16:creationId xmlns:a16="http://schemas.microsoft.com/office/drawing/2014/main" id="{A804E5F8-2FA6-49F3-8E7C-A3CBE2776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8202877" y="16323945"/>
          <a:ext cx="3100867" cy="2684689"/>
        </a:xfrm>
        <a:prstGeom prst="rect">
          <a:avLst/>
        </a:prstGeom>
      </xdr:spPr>
    </xdr:pic>
    <xdr:clientData/>
  </xdr:oneCellAnchor>
  <xdr:oneCellAnchor>
    <xdr:from>
      <xdr:col>49</xdr:col>
      <xdr:colOff>714374</xdr:colOff>
      <xdr:row>89</xdr:row>
      <xdr:rowOff>5647</xdr:rowOff>
    </xdr:from>
    <xdr:ext cx="3215368" cy="2783610"/>
    <xdr:pic>
      <xdr:nvPicPr>
        <xdr:cNvPr id="19" name="Imagem 18">
          <a:extLst>
            <a:ext uri="{FF2B5EF4-FFF2-40B4-BE49-F238E27FC236}">
              <a16:creationId xmlns:a16="http://schemas.microsoft.com/office/drawing/2014/main" id="{1DD8E6EF-E472-47DA-9C4D-734959A0F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0478094" y="16281967"/>
          <a:ext cx="3215368" cy="2783610"/>
        </a:xfrm>
        <a:prstGeom prst="rect">
          <a:avLst/>
        </a:prstGeom>
      </xdr:spPr>
    </xdr:pic>
    <xdr:clientData/>
  </xdr:oneCellAnchor>
  <xdr:oneCellAnchor>
    <xdr:from>
      <xdr:col>38</xdr:col>
      <xdr:colOff>142874</xdr:colOff>
      <xdr:row>19</xdr:row>
      <xdr:rowOff>28575</xdr:rowOff>
    </xdr:from>
    <xdr:ext cx="2883353" cy="2500796"/>
    <xdr:pic>
      <xdr:nvPicPr>
        <xdr:cNvPr id="20" name="Imagem 19">
          <a:extLst>
            <a:ext uri="{FF2B5EF4-FFF2-40B4-BE49-F238E27FC236}">
              <a16:creationId xmlns:a16="http://schemas.microsoft.com/office/drawing/2014/main" id="{78FD67C3-4567-4747-ACF3-C08EED3A1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3307674" y="3503295"/>
          <a:ext cx="2883353" cy="2500796"/>
        </a:xfrm>
        <a:prstGeom prst="rect">
          <a:avLst/>
        </a:prstGeom>
      </xdr:spPr>
    </xdr:pic>
    <xdr:clientData/>
  </xdr:oneCellAnchor>
  <xdr:oneCellAnchor>
    <xdr:from>
      <xdr:col>58</xdr:col>
      <xdr:colOff>133350</xdr:colOff>
      <xdr:row>19</xdr:row>
      <xdr:rowOff>76200</xdr:rowOff>
    </xdr:from>
    <xdr:ext cx="3160939" cy="2744781"/>
    <xdr:pic>
      <xdr:nvPicPr>
        <xdr:cNvPr id="21" name="Imagem 20">
          <a:extLst>
            <a:ext uri="{FF2B5EF4-FFF2-40B4-BE49-F238E27FC236}">
              <a16:creationId xmlns:a16="http://schemas.microsoft.com/office/drawing/2014/main" id="{5518E92F-53C3-4B46-ABF2-CE5EBDE95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5490150" y="3550920"/>
          <a:ext cx="3160939" cy="2744781"/>
        </a:xfrm>
        <a:prstGeom prst="rect">
          <a:avLst/>
        </a:prstGeom>
      </xdr:spPr>
    </xdr:pic>
    <xdr:clientData/>
  </xdr:oneCellAnchor>
  <xdr:oneCellAnchor>
    <xdr:from>
      <xdr:col>78</xdr:col>
      <xdr:colOff>66675</xdr:colOff>
      <xdr:row>19</xdr:row>
      <xdr:rowOff>114300</xdr:rowOff>
    </xdr:from>
    <xdr:ext cx="2903542" cy="2518682"/>
    <xdr:pic>
      <xdr:nvPicPr>
        <xdr:cNvPr id="22" name="Imagem 21">
          <a:extLst>
            <a:ext uri="{FF2B5EF4-FFF2-40B4-BE49-F238E27FC236}">
              <a16:creationId xmlns:a16="http://schemas.microsoft.com/office/drawing/2014/main" id="{09A2E69F-FC6E-4A0D-9743-EAB022B10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7615475" y="3589020"/>
          <a:ext cx="2903542" cy="2518682"/>
        </a:xfrm>
        <a:prstGeom prst="rect">
          <a:avLst/>
        </a:prstGeom>
      </xdr:spPr>
    </xdr:pic>
    <xdr:clientData/>
  </xdr:oneCellAnchor>
  <xdr:oneCellAnchor>
    <xdr:from>
      <xdr:col>54</xdr:col>
      <xdr:colOff>276225</xdr:colOff>
      <xdr:row>53</xdr:row>
      <xdr:rowOff>37818</xdr:rowOff>
    </xdr:from>
    <xdr:ext cx="2986767" cy="2594656"/>
    <xdr:pic>
      <xdr:nvPicPr>
        <xdr:cNvPr id="23" name="Imagem 22">
          <a:extLst>
            <a:ext uri="{FF2B5EF4-FFF2-40B4-BE49-F238E27FC236}">
              <a16:creationId xmlns:a16="http://schemas.microsoft.com/office/drawing/2014/main" id="{F84441AF-14AA-4849-9589-F3940AD84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3194625" y="9730458"/>
          <a:ext cx="2986767" cy="2594656"/>
        </a:xfrm>
        <a:prstGeom prst="rect">
          <a:avLst/>
        </a:prstGeom>
      </xdr:spPr>
    </xdr:pic>
    <xdr:clientData/>
  </xdr:oneCellAnchor>
  <xdr:oneCellAnchor>
    <xdr:from>
      <xdr:col>58</xdr:col>
      <xdr:colOff>148273</xdr:colOff>
      <xdr:row>53</xdr:row>
      <xdr:rowOff>57150</xdr:rowOff>
    </xdr:from>
    <xdr:ext cx="3135889" cy="2722281"/>
    <xdr:pic>
      <xdr:nvPicPr>
        <xdr:cNvPr id="24" name="Imagem 23">
          <a:extLst>
            <a:ext uri="{FF2B5EF4-FFF2-40B4-BE49-F238E27FC236}">
              <a16:creationId xmlns:a16="http://schemas.microsoft.com/office/drawing/2014/main" id="{D9AB51B0-5129-45D7-B04C-D188F5405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5505073" y="9749790"/>
          <a:ext cx="3135889" cy="2722281"/>
        </a:xfrm>
        <a:prstGeom prst="rect">
          <a:avLst/>
        </a:prstGeom>
      </xdr:spPr>
    </xdr:pic>
    <xdr:clientData/>
  </xdr:oneCellAnchor>
  <xdr:oneCellAnchor>
    <xdr:from>
      <xdr:col>62</xdr:col>
      <xdr:colOff>164557</xdr:colOff>
      <xdr:row>53</xdr:row>
      <xdr:rowOff>38100</xdr:rowOff>
    </xdr:from>
    <xdr:ext cx="3519656" cy="3050214"/>
    <xdr:pic>
      <xdr:nvPicPr>
        <xdr:cNvPr id="25" name="Imagem 24">
          <a:extLst>
            <a:ext uri="{FF2B5EF4-FFF2-40B4-BE49-F238E27FC236}">
              <a16:creationId xmlns:a16="http://schemas.microsoft.com/office/drawing/2014/main" id="{F433BE36-535F-4AEB-8301-9EAE06EFD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7959757" y="9730740"/>
          <a:ext cx="3519656" cy="3050214"/>
        </a:xfrm>
        <a:prstGeom prst="rect">
          <a:avLst/>
        </a:prstGeom>
      </xdr:spPr>
    </xdr:pic>
    <xdr:clientData/>
  </xdr:oneCellAnchor>
  <xdr:oneCellAnchor>
    <xdr:from>
      <xdr:col>53</xdr:col>
      <xdr:colOff>823164</xdr:colOff>
      <xdr:row>89</xdr:row>
      <xdr:rowOff>9525</xdr:rowOff>
    </xdr:from>
    <xdr:ext cx="3326412" cy="2884206"/>
    <xdr:pic>
      <xdr:nvPicPr>
        <xdr:cNvPr id="26" name="Imagem 25">
          <a:extLst>
            <a:ext uri="{FF2B5EF4-FFF2-40B4-BE49-F238E27FC236}">
              <a16:creationId xmlns:a16="http://schemas.microsoft.com/office/drawing/2014/main" id="{530D1AA7-0709-4769-B9F0-4B20A43FC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2918604" y="16285845"/>
          <a:ext cx="3326412" cy="2884206"/>
        </a:xfrm>
        <a:prstGeom prst="rect">
          <a:avLst/>
        </a:prstGeom>
      </xdr:spPr>
    </xdr:pic>
    <xdr:clientData/>
  </xdr:oneCellAnchor>
  <xdr:oneCellAnchor>
    <xdr:from>
      <xdr:col>58</xdr:col>
      <xdr:colOff>97836</xdr:colOff>
      <xdr:row>89</xdr:row>
      <xdr:rowOff>38099</xdr:rowOff>
    </xdr:from>
    <xdr:ext cx="3214900" cy="2788956"/>
    <xdr:pic>
      <xdr:nvPicPr>
        <xdr:cNvPr id="27" name="Imagem 26">
          <a:extLst>
            <a:ext uri="{FF2B5EF4-FFF2-40B4-BE49-F238E27FC236}">
              <a16:creationId xmlns:a16="http://schemas.microsoft.com/office/drawing/2014/main" id="{EF3A0166-A4B4-4FEF-A62B-CB09CE02F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5454636" y="16314419"/>
          <a:ext cx="3214900" cy="2788956"/>
        </a:xfrm>
        <a:prstGeom prst="rect">
          <a:avLst/>
        </a:prstGeom>
      </xdr:spPr>
    </xdr:pic>
    <xdr:clientData/>
  </xdr:oneCellAnchor>
  <xdr:oneCellAnchor>
    <xdr:from>
      <xdr:col>62</xdr:col>
      <xdr:colOff>257176</xdr:colOff>
      <xdr:row>89</xdr:row>
      <xdr:rowOff>38100</xdr:rowOff>
    </xdr:from>
    <xdr:ext cx="3316486" cy="2881939"/>
    <xdr:pic>
      <xdr:nvPicPr>
        <xdr:cNvPr id="28" name="Imagem 27">
          <a:extLst>
            <a:ext uri="{FF2B5EF4-FFF2-40B4-BE49-F238E27FC236}">
              <a16:creationId xmlns:a16="http://schemas.microsoft.com/office/drawing/2014/main" id="{339FBC39-9969-4B2C-88B8-A4AD2E312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8052376" y="16314420"/>
          <a:ext cx="3316486" cy="2881939"/>
        </a:xfrm>
        <a:prstGeom prst="rect">
          <a:avLst/>
        </a:prstGeom>
      </xdr:spPr>
    </xdr:pic>
    <xdr:clientData/>
  </xdr:oneCellAnchor>
  <xdr:oneCellAnchor>
    <xdr:from>
      <xdr:col>42</xdr:col>
      <xdr:colOff>112269</xdr:colOff>
      <xdr:row>19</xdr:row>
      <xdr:rowOff>38100</xdr:rowOff>
    </xdr:from>
    <xdr:ext cx="3009967" cy="2603899"/>
    <xdr:pic>
      <xdr:nvPicPr>
        <xdr:cNvPr id="29" name="Imagem 28">
          <a:extLst>
            <a:ext uri="{FF2B5EF4-FFF2-40B4-BE49-F238E27FC236}">
              <a16:creationId xmlns:a16="http://schemas.microsoft.com/office/drawing/2014/main" id="{4C8B6A4B-4BCF-4E0D-9444-5A79ED10E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5715469" y="3512820"/>
          <a:ext cx="3009967" cy="2603899"/>
        </a:xfrm>
        <a:prstGeom prst="rect">
          <a:avLst/>
        </a:prstGeom>
      </xdr:spPr>
    </xdr:pic>
    <xdr:clientData/>
  </xdr:oneCellAnchor>
  <xdr:oneCellAnchor>
    <xdr:from>
      <xdr:col>62</xdr:col>
      <xdr:colOff>228600</xdr:colOff>
      <xdr:row>19</xdr:row>
      <xdr:rowOff>19050</xdr:rowOff>
    </xdr:from>
    <xdr:ext cx="3463220" cy="3005310"/>
    <xdr:pic>
      <xdr:nvPicPr>
        <xdr:cNvPr id="30" name="Imagem 29">
          <a:extLst>
            <a:ext uri="{FF2B5EF4-FFF2-40B4-BE49-F238E27FC236}">
              <a16:creationId xmlns:a16="http://schemas.microsoft.com/office/drawing/2014/main" id="{895A6E42-060F-442C-AE96-90CDAC83E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8023800" y="3493770"/>
          <a:ext cx="3463220" cy="3005310"/>
        </a:xfrm>
        <a:prstGeom prst="rect">
          <a:avLst/>
        </a:prstGeom>
      </xdr:spPr>
    </xdr:pic>
    <xdr:clientData/>
  </xdr:oneCellAnchor>
  <xdr:oneCellAnchor>
    <xdr:from>
      <xdr:col>82</xdr:col>
      <xdr:colOff>57150</xdr:colOff>
      <xdr:row>19</xdr:row>
      <xdr:rowOff>57151</xdr:rowOff>
    </xdr:from>
    <xdr:ext cx="3298372" cy="2865350"/>
    <xdr:pic>
      <xdr:nvPicPr>
        <xdr:cNvPr id="31" name="Imagem 30">
          <a:extLst>
            <a:ext uri="{FF2B5EF4-FFF2-40B4-BE49-F238E27FC236}">
              <a16:creationId xmlns:a16="http://schemas.microsoft.com/office/drawing/2014/main" id="{0CCE368A-FEAA-4461-98D7-724F5E025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0044350" y="3531871"/>
          <a:ext cx="3298372" cy="2865350"/>
        </a:xfrm>
        <a:prstGeom prst="rect">
          <a:avLst/>
        </a:prstGeom>
      </xdr:spPr>
    </xdr:pic>
    <xdr:clientData/>
  </xdr:oneCellAnchor>
  <xdr:oneCellAnchor>
    <xdr:from>
      <xdr:col>66</xdr:col>
      <xdr:colOff>361950</xdr:colOff>
      <xdr:row>53</xdr:row>
      <xdr:rowOff>57150</xdr:rowOff>
    </xdr:from>
    <xdr:ext cx="2950810" cy="2556274"/>
    <xdr:pic>
      <xdr:nvPicPr>
        <xdr:cNvPr id="32" name="Imagem 31">
          <a:extLst>
            <a:ext uri="{FF2B5EF4-FFF2-40B4-BE49-F238E27FC236}">
              <a16:creationId xmlns:a16="http://schemas.microsoft.com/office/drawing/2014/main" id="{9D10E922-9711-4651-88B6-42D3CF1DC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0595550" y="9749790"/>
          <a:ext cx="2950810" cy="2556274"/>
        </a:xfrm>
        <a:prstGeom prst="rect">
          <a:avLst/>
        </a:prstGeom>
      </xdr:spPr>
    </xdr:pic>
    <xdr:clientData/>
  </xdr:oneCellAnchor>
  <xdr:oneCellAnchor>
    <xdr:from>
      <xdr:col>70</xdr:col>
      <xdr:colOff>161925</xdr:colOff>
      <xdr:row>53</xdr:row>
      <xdr:rowOff>57150</xdr:rowOff>
    </xdr:from>
    <xdr:ext cx="2923194" cy="2546749"/>
    <xdr:pic>
      <xdr:nvPicPr>
        <xdr:cNvPr id="33" name="Imagem 32">
          <a:extLst>
            <a:ext uri="{FF2B5EF4-FFF2-40B4-BE49-F238E27FC236}">
              <a16:creationId xmlns:a16="http://schemas.microsoft.com/office/drawing/2014/main" id="{41282DE4-23FF-4193-A2DB-652F245CD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2833925" y="9749790"/>
          <a:ext cx="2923194" cy="2546749"/>
        </a:xfrm>
        <a:prstGeom prst="rect">
          <a:avLst/>
        </a:prstGeom>
      </xdr:spPr>
    </xdr:pic>
    <xdr:clientData/>
  </xdr:oneCellAnchor>
  <xdr:oneCellAnchor>
    <xdr:from>
      <xdr:col>74</xdr:col>
      <xdr:colOff>352425</xdr:colOff>
      <xdr:row>53</xdr:row>
      <xdr:rowOff>47625</xdr:rowOff>
    </xdr:from>
    <xdr:ext cx="2976106" cy="2575324"/>
    <xdr:pic>
      <xdr:nvPicPr>
        <xdr:cNvPr id="34" name="Imagem 33">
          <a:extLst>
            <a:ext uri="{FF2B5EF4-FFF2-40B4-BE49-F238E27FC236}">
              <a16:creationId xmlns:a16="http://schemas.microsoft.com/office/drawing/2014/main" id="{E24AE265-6AFD-4AD4-8F18-36EAB5D98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5462825" y="9740265"/>
          <a:ext cx="2976106" cy="2575324"/>
        </a:xfrm>
        <a:prstGeom prst="rect">
          <a:avLst/>
        </a:prstGeom>
      </xdr:spPr>
    </xdr:pic>
    <xdr:clientData/>
  </xdr:oneCellAnchor>
  <xdr:oneCellAnchor>
    <xdr:from>
      <xdr:col>66</xdr:col>
      <xdr:colOff>47625</xdr:colOff>
      <xdr:row>89</xdr:row>
      <xdr:rowOff>28575</xdr:rowOff>
    </xdr:from>
    <xdr:ext cx="3323289" cy="2874681"/>
    <xdr:pic>
      <xdr:nvPicPr>
        <xdr:cNvPr id="35" name="Imagem 34">
          <a:extLst>
            <a:ext uri="{FF2B5EF4-FFF2-40B4-BE49-F238E27FC236}">
              <a16:creationId xmlns:a16="http://schemas.microsoft.com/office/drawing/2014/main" id="{D64923A1-69F8-4E42-ADCA-27DDF00E5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0281225" y="16304895"/>
          <a:ext cx="3323289" cy="2874681"/>
        </a:xfrm>
        <a:prstGeom prst="rect">
          <a:avLst/>
        </a:prstGeom>
      </xdr:spPr>
    </xdr:pic>
    <xdr:clientData/>
  </xdr:oneCellAnchor>
  <xdr:oneCellAnchor>
    <xdr:from>
      <xdr:col>70</xdr:col>
      <xdr:colOff>171450</xdr:colOff>
      <xdr:row>89</xdr:row>
      <xdr:rowOff>38099</xdr:rowOff>
    </xdr:from>
    <xdr:ext cx="2957055" cy="2575324"/>
    <xdr:pic>
      <xdr:nvPicPr>
        <xdr:cNvPr id="36" name="Imagem 35">
          <a:extLst>
            <a:ext uri="{FF2B5EF4-FFF2-40B4-BE49-F238E27FC236}">
              <a16:creationId xmlns:a16="http://schemas.microsoft.com/office/drawing/2014/main" id="{23268875-3DA5-4B86-ACBC-E91F336ED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843450" y="16314419"/>
          <a:ext cx="2957055" cy="2575324"/>
        </a:xfrm>
        <a:prstGeom prst="rect">
          <a:avLst/>
        </a:prstGeom>
      </xdr:spPr>
    </xdr:pic>
    <xdr:clientData/>
  </xdr:oneCellAnchor>
  <xdr:oneCellAnchor>
    <xdr:from>
      <xdr:col>74</xdr:col>
      <xdr:colOff>582474</xdr:colOff>
      <xdr:row>89</xdr:row>
      <xdr:rowOff>133349</xdr:rowOff>
    </xdr:from>
    <xdr:ext cx="2682638" cy="2322231"/>
    <xdr:pic>
      <xdr:nvPicPr>
        <xdr:cNvPr id="37" name="Imagem 36">
          <a:extLst>
            <a:ext uri="{FF2B5EF4-FFF2-40B4-BE49-F238E27FC236}">
              <a16:creationId xmlns:a16="http://schemas.microsoft.com/office/drawing/2014/main" id="{9E5CD4D1-EFA3-4913-B38B-EA50DF75C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5692874" y="16409669"/>
          <a:ext cx="2682638" cy="2322231"/>
        </a:xfrm>
        <a:prstGeom prst="rect">
          <a:avLst/>
        </a:prstGeom>
      </xdr:spPr>
    </xdr:pic>
    <xdr:clientData/>
  </xdr:oneCellAnchor>
  <xdr:oneCellAnchor>
    <xdr:from>
      <xdr:col>45</xdr:col>
      <xdr:colOff>666750</xdr:colOff>
      <xdr:row>19</xdr:row>
      <xdr:rowOff>19050</xdr:rowOff>
    </xdr:from>
    <xdr:ext cx="3270934" cy="2828417"/>
    <xdr:pic>
      <xdr:nvPicPr>
        <xdr:cNvPr id="38" name="Imagem 37">
          <a:extLst>
            <a:ext uri="{FF2B5EF4-FFF2-40B4-BE49-F238E27FC236}">
              <a16:creationId xmlns:a16="http://schemas.microsoft.com/office/drawing/2014/main" id="{8FE0635A-C370-49BC-B39C-8172CB2D0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8037790" y="3493770"/>
          <a:ext cx="3270934" cy="2828417"/>
        </a:xfrm>
        <a:prstGeom prst="rect">
          <a:avLst/>
        </a:prstGeom>
      </xdr:spPr>
    </xdr:pic>
    <xdr:clientData/>
  </xdr:oneCellAnchor>
  <xdr:oneCellAnchor>
    <xdr:from>
      <xdr:col>66</xdr:col>
      <xdr:colOff>19050</xdr:colOff>
      <xdr:row>19</xdr:row>
      <xdr:rowOff>28575</xdr:rowOff>
    </xdr:from>
    <xdr:ext cx="3413586" cy="2957685"/>
    <xdr:pic>
      <xdr:nvPicPr>
        <xdr:cNvPr id="39" name="Imagem 38">
          <a:extLst>
            <a:ext uri="{FF2B5EF4-FFF2-40B4-BE49-F238E27FC236}">
              <a16:creationId xmlns:a16="http://schemas.microsoft.com/office/drawing/2014/main" id="{04A7C017-17DC-4D67-9227-DD730F459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0252650" y="3503295"/>
          <a:ext cx="3413586" cy="2957685"/>
        </a:xfrm>
        <a:prstGeom prst="rect">
          <a:avLst/>
        </a:prstGeom>
      </xdr:spPr>
    </xdr:pic>
    <xdr:clientData/>
  </xdr:oneCellAnchor>
  <xdr:oneCellAnchor>
    <xdr:from>
      <xdr:col>86</xdr:col>
      <xdr:colOff>323850</xdr:colOff>
      <xdr:row>19</xdr:row>
      <xdr:rowOff>66675</xdr:rowOff>
    </xdr:from>
    <xdr:ext cx="3218224" cy="2790825"/>
    <xdr:pic>
      <xdr:nvPicPr>
        <xdr:cNvPr id="40" name="Imagem 39">
          <a:extLst>
            <a:ext uri="{FF2B5EF4-FFF2-40B4-BE49-F238E27FC236}">
              <a16:creationId xmlns:a16="http://schemas.microsoft.com/office/drawing/2014/main" id="{7F00E381-22E0-4778-B744-B5292A790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2749450" y="3541395"/>
          <a:ext cx="3218224" cy="2790825"/>
        </a:xfrm>
        <a:prstGeom prst="rect">
          <a:avLst/>
        </a:prstGeom>
      </xdr:spPr>
    </xdr:pic>
    <xdr:clientData/>
  </xdr:oneCellAnchor>
  <xdr:oneCellAnchor>
    <xdr:from>
      <xdr:col>86</xdr:col>
      <xdr:colOff>180974</xdr:colOff>
      <xdr:row>53</xdr:row>
      <xdr:rowOff>46326</xdr:rowOff>
    </xdr:from>
    <xdr:ext cx="3286884" cy="2847405"/>
    <xdr:pic>
      <xdr:nvPicPr>
        <xdr:cNvPr id="41" name="Imagem 40">
          <a:extLst>
            <a:ext uri="{FF2B5EF4-FFF2-40B4-BE49-F238E27FC236}">
              <a16:creationId xmlns:a16="http://schemas.microsoft.com/office/drawing/2014/main" id="{7D6C17A8-414C-442C-9CAB-AEF24BC48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2606574" y="9738966"/>
          <a:ext cx="3286884" cy="2847405"/>
        </a:xfrm>
        <a:prstGeom prst="rect">
          <a:avLst/>
        </a:prstGeom>
      </xdr:spPr>
    </xdr:pic>
    <xdr:clientData/>
  </xdr:oneCellAnchor>
  <xdr:oneCellAnchor>
    <xdr:from>
      <xdr:col>82</xdr:col>
      <xdr:colOff>97881</xdr:colOff>
      <xdr:row>53</xdr:row>
      <xdr:rowOff>85725</xdr:rowOff>
    </xdr:from>
    <xdr:ext cx="3514213" cy="3055656"/>
    <xdr:pic>
      <xdr:nvPicPr>
        <xdr:cNvPr id="42" name="Imagem 41">
          <a:extLst>
            <a:ext uri="{FF2B5EF4-FFF2-40B4-BE49-F238E27FC236}">
              <a16:creationId xmlns:a16="http://schemas.microsoft.com/office/drawing/2014/main" id="{4E88207B-1DE2-45AD-80AE-62F996922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0085081" y="9778365"/>
          <a:ext cx="3514213" cy="3055656"/>
        </a:xfrm>
        <a:prstGeom prst="rect">
          <a:avLst/>
        </a:prstGeom>
      </xdr:spPr>
    </xdr:pic>
    <xdr:clientData/>
  </xdr:oneCellAnchor>
  <xdr:oneCellAnchor>
    <xdr:from>
      <xdr:col>77</xdr:col>
      <xdr:colOff>637461</xdr:colOff>
      <xdr:row>53</xdr:row>
      <xdr:rowOff>57150</xdr:rowOff>
    </xdr:from>
    <xdr:ext cx="3533663" cy="3065181"/>
    <xdr:pic>
      <xdr:nvPicPr>
        <xdr:cNvPr id="43" name="Imagem 42">
          <a:extLst>
            <a:ext uri="{FF2B5EF4-FFF2-40B4-BE49-F238E27FC236}">
              <a16:creationId xmlns:a16="http://schemas.microsoft.com/office/drawing/2014/main" id="{0CF917E3-821B-4C9A-A1CF-2E7DEBDBB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7546181" y="9749790"/>
          <a:ext cx="3533663" cy="3065181"/>
        </a:xfrm>
        <a:prstGeom prst="rect">
          <a:avLst/>
        </a:prstGeom>
      </xdr:spPr>
    </xdr:pic>
    <xdr:clientData/>
  </xdr:oneCellAnchor>
  <xdr:oneCellAnchor>
    <xdr:from>
      <xdr:col>78</xdr:col>
      <xdr:colOff>266700</xdr:colOff>
      <xdr:row>89</xdr:row>
      <xdr:rowOff>19050</xdr:rowOff>
    </xdr:from>
    <xdr:ext cx="2823929" cy="2446056"/>
    <xdr:pic>
      <xdr:nvPicPr>
        <xdr:cNvPr id="44" name="Imagem 43">
          <a:extLst>
            <a:ext uri="{FF2B5EF4-FFF2-40B4-BE49-F238E27FC236}">
              <a16:creationId xmlns:a16="http://schemas.microsoft.com/office/drawing/2014/main" id="{C6FC6316-216D-4FA0-8124-D9F689D71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7815500" y="16295370"/>
          <a:ext cx="2823929" cy="2446056"/>
        </a:xfrm>
        <a:prstGeom prst="rect">
          <a:avLst/>
        </a:prstGeom>
      </xdr:spPr>
    </xdr:pic>
    <xdr:clientData/>
  </xdr:oneCellAnchor>
  <xdr:oneCellAnchor>
    <xdr:from>
      <xdr:col>82</xdr:col>
      <xdr:colOff>295051</xdr:colOff>
      <xdr:row>89</xdr:row>
      <xdr:rowOff>66675</xdr:rowOff>
    </xdr:from>
    <xdr:ext cx="3288468" cy="2859714"/>
    <xdr:pic>
      <xdr:nvPicPr>
        <xdr:cNvPr id="45" name="Imagem 44">
          <a:extLst>
            <a:ext uri="{FF2B5EF4-FFF2-40B4-BE49-F238E27FC236}">
              <a16:creationId xmlns:a16="http://schemas.microsoft.com/office/drawing/2014/main" id="{ECFD5D36-A27A-4919-83BF-689530805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0282251" y="16342995"/>
          <a:ext cx="3288468" cy="2859714"/>
        </a:xfrm>
        <a:prstGeom prst="rect">
          <a:avLst/>
        </a:prstGeom>
      </xdr:spPr>
    </xdr:pic>
    <xdr:clientData/>
  </xdr:oneCellAnchor>
  <xdr:oneCellAnchor>
    <xdr:from>
      <xdr:col>74</xdr:col>
      <xdr:colOff>130628</xdr:colOff>
      <xdr:row>91</xdr:row>
      <xdr:rowOff>111578</xdr:rowOff>
    </xdr:from>
    <xdr:ext cx="4821770" cy="4038999"/>
    <xdr:pic>
      <xdr:nvPicPr>
        <xdr:cNvPr id="46" name="Imagem 45">
          <a:extLst>
            <a:ext uri="{FF2B5EF4-FFF2-40B4-BE49-F238E27FC236}">
              <a16:creationId xmlns:a16="http://schemas.microsoft.com/office/drawing/2014/main" id="{6D35B9F3-9BD7-4F58-AC05-FDE76E647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5241028" y="16753658"/>
          <a:ext cx="4821770" cy="4038999"/>
        </a:xfrm>
        <a:prstGeom prst="rect">
          <a:avLst/>
        </a:prstGeom>
      </xdr:spPr>
    </xdr:pic>
    <xdr:clientData/>
  </xdr:oneCellAnchor>
  <xdr:oneCellAnchor>
    <xdr:from>
      <xdr:col>85</xdr:col>
      <xdr:colOff>886026</xdr:colOff>
      <xdr:row>89</xdr:row>
      <xdr:rowOff>57150</xdr:rowOff>
    </xdr:from>
    <xdr:ext cx="3777900" cy="3253504"/>
    <xdr:pic>
      <xdr:nvPicPr>
        <xdr:cNvPr id="47" name="Imagem 46">
          <a:extLst>
            <a:ext uri="{FF2B5EF4-FFF2-40B4-BE49-F238E27FC236}">
              <a16:creationId xmlns:a16="http://schemas.microsoft.com/office/drawing/2014/main" id="{2F457D1B-6FE4-4C57-8E8A-6B4CDC0A2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2427706" y="16333470"/>
          <a:ext cx="3777900" cy="325350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0377E-F41D-4142-8E1E-2CDDAF3C86D3}">
  <dimension ref="A1:CL143"/>
  <sheetViews>
    <sheetView tabSelected="1" topLeftCell="A73" zoomScale="70" zoomScaleNormal="70" workbookViewId="0">
      <selection activeCell="P9" sqref="P9:P14"/>
    </sheetView>
  </sheetViews>
  <sheetFormatPr defaultRowHeight="14.4" x14ac:dyDescent="0.3"/>
  <cols>
    <col min="3" max="3" width="15" customWidth="1"/>
    <col min="5" max="6" width="12.88671875" customWidth="1"/>
    <col min="7" max="7" width="12.33203125" customWidth="1"/>
    <col min="8" max="10" width="12.44140625" customWidth="1"/>
    <col min="11" max="11" width="10.88671875" customWidth="1"/>
    <col min="12" max="12" width="13.5546875" customWidth="1"/>
    <col min="14" max="15" width="15.88671875" customWidth="1"/>
    <col min="21" max="21" width="13.88671875" customWidth="1"/>
    <col min="23" max="24" width="18.6640625" customWidth="1"/>
    <col min="25" max="25" width="10.5546875" customWidth="1"/>
    <col min="26" max="26" width="16" customWidth="1"/>
    <col min="27" max="27" width="16.6640625" customWidth="1"/>
    <col min="31" max="31" width="25.44140625" customWidth="1"/>
    <col min="34" max="34" width="9.6640625" customWidth="1"/>
    <col min="35" max="35" width="18.5546875" customWidth="1"/>
    <col min="36" max="36" width="9.5546875" customWidth="1"/>
    <col min="37" max="37" width="10.109375" customWidth="1"/>
    <col min="38" max="38" width="10.33203125" customWidth="1"/>
    <col min="39" max="39" width="18.5546875" customWidth="1"/>
    <col min="42" max="42" width="9.6640625" customWidth="1"/>
    <col min="43" max="43" width="18.33203125" customWidth="1"/>
    <col min="45" max="45" width="10.33203125" customWidth="1"/>
    <col min="46" max="46" width="10.109375" customWidth="1"/>
    <col min="47" max="47" width="18.33203125" customWidth="1"/>
    <col min="49" max="49" width="10.33203125" customWidth="1"/>
    <col min="50" max="50" width="10.5546875" customWidth="1"/>
    <col min="51" max="51" width="14.33203125" customWidth="1"/>
    <col min="52" max="52" width="9.88671875" customWidth="1"/>
    <col min="53" max="53" width="11.44140625" customWidth="1"/>
    <col min="54" max="54" width="12.33203125" customWidth="1"/>
    <col min="55" max="55" width="19.5546875" customWidth="1"/>
    <col min="56" max="56" width="11.109375" customWidth="1"/>
    <col min="58" max="58" width="10.6640625" customWidth="1"/>
    <col min="59" max="59" width="15.44140625" customWidth="1"/>
    <col min="60" max="60" width="11.5546875" customWidth="1"/>
    <col min="61" max="61" width="10.6640625" customWidth="1"/>
    <col min="62" max="62" width="11.88671875" customWidth="1"/>
    <col min="63" max="63" width="16.6640625" customWidth="1"/>
    <col min="64" max="64" width="12.33203125" customWidth="1"/>
    <col min="65" max="65" width="11.88671875" customWidth="1"/>
    <col min="66" max="66" width="13.6640625" customWidth="1"/>
    <col min="67" max="67" width="15.44140625" customWidth="1"/>
    <col min="68" max="68" width="12.6640625" customWidth="1"/>
    <col min="69" max="69" width="11.44140625" customWidth="1"/>
    <col min="70" max="70" width="12.44140625" customWidth="1"/>
    <col min="71" max="71" width="14.6640625" customWidth="1"/>
    <col min="72" max="72" width="10.109375" customWidth="1"/>
    <col min="73" max="73" width="10.6640625" customWidth="1"/>
    <col min="74" max="74" width="11" customWidth="1"/>
    <col min="75" max="75" width="15.88671875" customWidth="1"/>
    <col min="76" max="76" width="12.33203125" customWidth="1"/>
    <col min="77" max="77" width="12.6640625" customWidth="1"/>
    <col min="78" max="78" width="11.88671875" customWidth="1"/>
    <col min="79" max="79" width="14.109375" customWidth="1"/>
    <col min="80" max="81" width="10.33203125" customWidth="1"/>
    <col min="82" max="82" width="12.33203125" customWidth="1"/>
    <col min="83" max="83" width="17.33203125" customWidth="1"/>
    <col min="84" max="84" width="12.33203125" customWidth="1"/>
    <col min="85" max="85" width="10.6640625" customWidth="1"/>
    <col min="86" max="86" width="13" customWidth="1"/>
    <col min="87" max="87" width="16.88671875" customWidth="1"/>
    <col min="88" max="88" width="13.109375" customWidth="1"/>
    <col min="89" max="89" width="12.33203125" customWidth="1"/>
    <col min="90" max="90" width="11" customWidth="1"/>
  </cols>
  <sheetData>
    <row r="1" spans="1:90" ht="15" thickBot="1" x14ac:dyDescent="0.35">
      <c r="A1" s="104" t="s">
        <v>34</v>
      </c>
      <c r="B1" s="102"/>
      <c r="C1" s="104" t="s">
        <v>366</v>
      </c>
      <c r="D1" s="103"/>
      <c r="E1" s="103"/>
      <c r="F1" s="103"/>
      <c r="G1" s="103"/>
      <c r="H1" s="103"/>
      <c r="I1" s="103"/>
      <c r="J1" s="103"/>
      <c r="K1" s="103"/>
      <c r="L1" s="104" t="s">
        <v>365</v>
      </c>
      <c r="M1" s="103"/>
      <c r="N1" s="103"/>
      <c r="O1" s="103"/>
      <c r="P1" s="103"/>
      <c r="Q1" s="103"/>
      <c r="R1" s="103"/>
      <c r="S1" s="103"/>
      <c r="T1" s="102"/>
      <c r="U1" s="104" t="s">
        <v>364</v>
      </c>
      <c r="V1" s="103"/>
      <c r="W1" s="103"/>
      <c r="X1" s="103"/>
      <c r="Y1" s="103"/>
      <c r="Z1" s="103"/>
      <c r="AA1" s="103"/>
      <c r="AB1" s="103"/>
      <c r="AC1" s="102"/>
      <c r="AE1" s="37" t="s">
        <v>363</v>
      </c>
      <c r="AF1" s="37"/>
      <c r="AG1" s="37"/>
      <c r="AH1" s="37"/>
      <c r="AI1" s="37" t="s">
        <v>362</v>
      </c>
      <c r="AJ1" s="37"/>
      <c r="AK1" s="37"/>
      <c r="AL1" s="37"/>
      <c r="AM1" s="37" t="s">
        <v>361</v>
      </c>
      <c r="AN1" s="37"/>
      <c r="AO1" s="37"/>
      <c r="AP1" s="37"/>
      <c r="AQ1" s="37" t="s">
        <v>360</v>
      </c>
      <c r="AR1" s="37"/>
      <c r="AS1" s="37"/>
      <c r="AT1" s="37"/>
      <c r="AU1" s="37" t="s">
        <v>359</v>
      </c>
      <c r="AV1" s="37"/>
      <c r="AW1" s="37"/>
      <c r="AX1" s="37"/>
      <c r="AY1" s="37" t="s">
        <v>358</v>
      </c>
      <c r="AZ1" s="37"/>
      <c r="BA1" s="37"/>
      <c r="BB1" s="37"/>
      <c r="BC1" s="37" t="s">
        <v>357</v>
      </c>
      <c r="BD1" s="37"/>
      <c r="BE1" s="37"/>
      <c r="BF1" s="37"/>
      <c r="BG1" s="37" t="s">
        <v>356</v>
      </c>
      <c r="BH1" s="37"/>
      <c r="BI1" s="37"/>
      <c r="BJ1" s="37"/>
      <c r="BK1" s="37" t="s">
        <v>355</v>
      </c>
      <c r="BL1" s="37"/>
      <c r="BM1" s="37"/>
      <c r="BN1" s="37"/>
      <c r="BO1" s="37" t="s">
        <v>354</v>
      </c>
      <c r="BP1" s="37"/>
      <c r="BQ1" s="37"/>
      <c r="BR1" s="37"/>
      <c r="BS1" s="37" t="s">
        <v>353</v>
      </c>
      <c r="BT1" s="37"/>
      <c r="BU1" s="37"/>
      <c r="BV1" s="37"/>
      <c r="BW1" s="37" t="s">
        <v>352</v>
      </c>
      <c r="BX1" s="37"/>
      <c r="BY1" s="37"/>
      <c r="BZ1" s="37"/>
      <c r="CA1" s="37" t="s">
        <v>351</v>
      </c>
      <c r="CB1" s="37"/>
      <c r="CC1" s="37"/>
      <c r="CD1" s="37"/>
      <c r="CE1" s="37" t="s">
        <v>350</v>
      </c>
      <c r="CF1" s="37"/>
      <c r="CG1" s="37"/>
      <c r="CH1" s="37"/>
      <c r="CI1" s="37" t="s">
        <v>349</v>
      </c>
      <c r="CJ1" s="37"/>
      <c r="CK1" s="37"/>
      <c r="CL1" s="37"/>
    </row>
    <row r="2" spans="1:90" ht="28.5" customHeight="1" thickBot="1" x14ac:dyDescent="0.35">
      <c r="A2" s="101" t="s">
        <v>30</v>
      </c>
      <c r="B2" s="100" t="s">
        <v>29</v>
      </c>
      <c r="C2" s="100" t="s">
        <v>26</v>
      </c>
      <c r="D2" s="100" t="s">
        <v>25</v>
      </c>
      <c r="E2" s="100" t="s">
        <v>24</v>
      </c>
      <c r="F2" s="22" t="s">
        <v>23</v>
      </c>
      <c r="G2" s="99" t="s">
        <v>22</v>
      </c>
      <c r="H2" s="21" t="s">
        <v>21</v>
      </c>
      <c r="I2" s="20" t="s">
        <v>20</v>
      </c>
      <c r="J2" s="20" t="s">
        <v>19</v>
      </c>
      <c r="K2" s="99" t="s">
        <v>18</v>
      </c>
      <c r="L2" s="100" t="s">
        <v>28</v>
      </c>
      <c r="M2" s="100" t="s">
        <v>25</v>
      </c>
      <c r="N2" s="100" t="s">
        <v>24</v>
      </c>
      <c r="O2" s="22" t="s">
        <v>23</v>
      </c>
      <c r="P2" s="99" t="s">
        <v>22</v>
      </c>
      <c r="Q2" s="21" t="s">
        <v>21</v>
      </c>
      <c r="R2" s="20" t="s">
        <v>20</v>
      </c>
      <c r="S2" s="20" t="s">
        <v>19</v>
      </c>
      <c r="T2" s="99" t="s">
        <v>18</v>
      </c>
      <c r="U2" s="100" t="s">
        <v>26</v>
      </c>
      <c r="V2" s="100" t="s">
        <v>25</v>
      </c>
      <c r="W2" s="100" t="s">
        <v>24</v>
      </c>
      <c r="X2" s="22" t="s">
        <v>23</v>
      </c>
      <c r="Y2" s="99" t="s">
        <v>22</v>
      </c>
      <c r="Z2" s="21" t="s">
        <v>21</v>
      </c>
      <c r="AA2" s="20" t="s">
        <v>20</v>
      </c>
      <c r="AB2" s="20" t="s">
        <v>19</v>
      </c>
      <c r="AC2" s="99" t="s">
        <v>18</v>
      </c>
      <c r="AE2" s="36" t="s">
        <v>141</v>
      </c>
      <c r="AF2" s="36" t="s">
        <v>140</v>
      </c>
      <c r="AG2" s="36" t="s">
        <v>139</v>
      </c>
      <c r="AH2" s="36" t="s">
        <v>138</v>
      </c>
      <c r="AI2" s="36" t="s">
        <v>141</v>
      </c>
      <c r="AJ2" s="36" t="s">
        <v>140</v>
      </c>
      <c r="AK2" s="36" t="s">
        <v>139</v>
      </c>
      <c r="AL2" s="36" t="s">
        <v>138</v>
      </c>
      <c r="AM2" s="36" t="s">
        <v>141</v>
      </c>
      <c r="AN2" s="36" t="s">
        <v>140</v>
      </c>
      <c r="AO2" s="36" t="s">
        <v>139</v>
      </c>
      <c r="AP2" s="36" t="s">
        <v>138</v>
      </c>
      <c r="AQ2" s="36" t="s">
        <v>141</v>
      </c>
      <c r="AR2" s="36" t="s">
        <v>140</v>
      </c>
      <c r="AS2" s="36" t="s">
        <v>139</v>
      </c>
      <c r="AT2" s="36" t="s">
        <v>138</v>
      </c>
      <c r="AU2" s="36" t="s">
        <v>141</v>
      </c>
      <c r="AV2" s="36" t="s">
        <v>140</v>
      </c>
      <c r="AW2" s="36" t="s">
        <v>139</v>
      </c>
      <c r="AX2" s="36" t="s">
        <v>138</v>
      </c>
      <c r="AY2" s="36" t="s">
        <v>141</v>
      </c>
      <c r="AZ2" s="36" t="s">
        <v>140</v>
      </c>
      <c r="BA2" s="36" t="s">
        <v>139</v>
      </c>
      <c r="BB2" s="36" t="s">
        <v>138</v>
      </c>
      <c r="BC2" s="36" t="s">
        <v>141</v>
      </c>
      <c r="BD2" s="36" t="s">
        <v>140</v>
      </c>
      <c r="BE2" s="36" t="s">
        <v>139</v>
      </c>
      <c r="BF2" s="36" t="s">
        <v>138</v>
      </c>
      <c r="BG2" s="36" t="s">
        <v>141</v>
      </c>
      <c r="BH2" s="36" t="s">
        <v>140</v>
      </c>
      <c r="BI2" s="36" t="s">
        <v>139</v>
      </c>
      <c r="BJ2" s="36" t="s">
        <v>138</v>
      </c>
      <c r="BK2" s="36" t="s">
        <v>141</v>
      </c>
      <c r="BL2" s="36" t="s">
        <v>140</v>
      </c>
      <c r="BM2" s="36" t="s">
        <v>139</v>
      </c>
      <c r="BN2" s="36" t="s">
        <v>138</v>
      </c>
      <c r="BO2" s="36" t="s">
        <v>141</v>
      </c>
      <c r="BP2" s="36" t="s">
        <v>140</v>
      </c>
      <c r="BQ2" s="36" t="s">
        <v>139</v>
      </c>
      <c r="BR2" s="36" t="s">
        <v>138</v>
      </c>
      <c r="BS2" s="36" t="s">
        <v>141</v>
      </c>
      <c r="BT2" s="36" t="s">
        <v>140</v>
      </c>
      <c r="BU2" s="36" t="s">
        <v>139</v>
      </c>
      <c r="BV2" s="36" t="s">
        <v>138</v>
      </c>
      <c r="BW2" s="36" t="s">
        <v>141</v>
      </c>
      <c r="BX2" s="36" t="s">
        <v>140</v>
      </c>
      <c r="BY2" s="36" t="s">
        <v>139</v>
      </c>
      <c r="BZ2" s="36" t="s">
        <v>138</v>
      </c>
      <c r="CA2" s="36" t="s">
        <v>141</v>
      </c>
      <c r="CB2" s="36" t="s">
        <v>140</v>
      </c>
      <c r="CC2" s="36" t="s">
        <v>139</v>
      </c>
      <c r="CD2" s="36" t="s">
        <v>138</v>
      </c>
      <c r="CE2" s="36" t="s">
        <v>141</v>
      </c>
      <c r="CF2" s="36" t="s">
        <v>140</v>
      </c>
      <c r="CG2" s="36" t="s">
        <v>139</v>
      </c>
      <c r="CH2" s="36" t="s">
        <v>138</v>
      </c>
      <c r="CI2" s="36" t="s">
        <v>141</v>
      </c>
      <c r="CJ2" s="36" t="s">
        <v>140</v>
      </c>
      <c r="CK2" s="36" t="s">
        <v>139</v>
      </c>
      <c r="CL2" s="36" t="s">
        <v>138</v>
      </c>
    </row>
    <row r="3" spans="1:90" ht="15" thickBot="1" x14ac:dyDescent="0.35">
      <c r="A3" s="85" t="s">
        <v>17</v>
      </c>
      <c r="B3" s="78">
        <v>2016</v>
      </c>
      <c r="C3" s="78">
        <v>17429371</v>
      </c>
      <c r="D3" s="78">
        <v>467</v>
      </c>
      <c r="E3" s="4">
        <f>(D3/C3)*100000</f>
        <v>2.6793852744313034</v>
      </c>
      <c r="F3" s="4">
        <f>LN(E3)</f>
        <v>0.98558739300004772</v>
      </c>
      <c r="G3" s="98">
        <v>8.2900000000000001E-2</v>
      </c>
      <c r="H3" s="40">
        <f>(EXP(G3) -1) * 100</f>
        <v>8.6433159799911294</v>
      </c>
      <c r="I3" s="40">
        <f>(EXP(0.021) -1) * 100</f>
        <v>2.122205163752855</v>
      </c>
      <c r="J3" s="40">
        <f>(EXP(0.145) -1) * 100</f>
        <v>15.603957026802151</v>
      </c>
      <c r="K3" s="84">
        <v>2.0299999999999999E-2</v>
      </c>
      <c r="L3" s="78">
        <v>8655356</v>
      </c>
      <c r="M3" s="78">
        <v>287</v>
      </c>
      <c r="N3" s="4">
        <f>(M3/L3)*100000</f>
        <v>3.3158659216328021</v>
      </c>
      <c r="O3" s="4">
        <f>LN(N3)</f>
        <v>1.1987188026898405</v>
      </c>
      <c r="P3" s="84">
        <v>8.5099999999999995E-2</v>
      </c>
      <c r="Q3" s="40">
        <f>(EXP(P3) -1) * 100</f>
        <v>8.8825943848835252</v>
      </c>
      <c r="R3" s="40">
        <f>(EXP(-0.003) -1) * 100</f>
        <v>-0.29955044966269995</v>
      </c>
      <c r="S3" s="40">
        <f>(EXP(0.173) -1) * 100</f>
        <v>18.886610508403212</v>
      </c>
      <c r="T3" s="84">
        <v>5.5199999999999999E-2</v>
      </c>
      <c r="U3" s="78">
        <v>8774015</v>
      </c>
      <c r="V3" s="78">
        <v>180</v>
      </c>
      <c r="W3" s="4">
        <f>(V3/U3)*100000</f>
        <v>2.0515123350028461</v>
      </c>
      <c r="X3" s="4">
        <f>LN(W3)</f>
        <v>0.71857724555706848</v>
      </c>
      <c r="Y3" s="84">
        <v>8.3400000000000002E-2</v>
      </c>
      <c r="Z3" s="40">
        <f>(EXP(Y3) -1) * 100</f>
        <v>8.6976512206593082</v>
      </c>
      <c r="AA3" s="40">
        <f>(EXP(0.057) -1) * 100</f>
        <v>5.8655810395500163</v>
      </c>
      <c r="AB3" s="40">
        <f>(EXP(0.11) -1) * 100</f>
        <v>11.627807045887128</v>
      </c>
      <c r="AC3" s="98">
        <v>1E-3</v>
      </c>
      <c r="AE3" s="36" t="s">
        <v>137</v>
      </c>
      <c r="AF3" s="36">
        <v>1</v>
      </c>
      <c r="AG3" s="36">
        <v>0.1201</v>
      </c>
      <c r="AH3" s="36">
        <v>0.1201</v>
      </c>
      <c r="AI3" s="36" t="s">
        <v>137</v>
      </c>
      <c r="AJ3" s="36">
        <v>1</v>
      </c>
      <c r="AK3" s="36">
        <v>0.15840000000000001</v>
      </c>
      <c r="AL3" s="36">
        <v>0.15840000000000001</v>
      </c>
      <c r="AM3" s="36" t="s">
        <v>137</v>
      </c>
      <c r="AN3" s="36">
        <v>1</v>
      </c>
      <c r="AO3" s="36">
        <v>7.9600000000000004E-2</v>
      </c>
      <c r="AP3" s="36">
        <v>7.9600000000000004E-2</v>
      </c>
      <c r="AQ3" s="36" t="s">
        <v>137</v>
      </c>
      <c r="AR3" s="36">
        <v>1</v>
      </c>
      <c r="AS3" s="36">
        <v>4.0300000000000002E-2</v>
      </c>
      <c r="AT3" s="36">
        <v>4.0300000000000002E-2</v>
      </c>
      <c r="AU3" s="36" t="s">
        <v>137</v>
      </c>
      <c r="AV3" s="36">
        <v>1</v>
      </c>
      <c r="AW3" s="36">
        <v>4.58E-2</v>
      </c>
      <c r="AX3" s="36">
        <v>4.58E-2</v>
      </c>
      <c r="AY3" s="36" t="s">
        <v>137</v>
      </c>
      <c r="AZ3" s="36">
        <v>1</v>
      </c>
      <c r="BA3" s="36">
        <v>0.12690000000000001</v>
      </c>
      <c r="BB3" s="36">
        <v>0.12690000000000001</v>
      </c>
      <c r="BC3" s="36" t="s">
        <v>137</v>
      </c>
      <c r="BD3" s="36">
        <v>1</v>
      </c>
      <c r="BE3" s="36">
        <v>0.1651</v>
      </c>
      <c r="BF3" s="36">
        <v>0.1651</v>
      </c>
      <c r="BG3" s="36" t="s">
        <v>137</v>
      </c>
      <c r="BH3" s="36">
        <v>1</v>
      </c>
      <c r="BI3" s="36">
        <v>6.8500000000000005E-2</v>
      </c>
      <c r="BJ3" s="36">
        <v>6.8500000000000005E-2</v>
      </c>
      <c r="BK3" s="36" t="s">
        <v>137</v>
      </c>
      <c r="BL3" s="36">
        <v>1</v>
      </c>
      <c r="BM3" s="36">
        <v>4.3799999999999999E-2</v>
      </c>
      <c r="BN3" s="36">
        <v>4.3799999999999999E-2</v>
      </c>
      <c r="BO3" s="36" t="s">
        <v>137</v>
      </c>
      <c r="BP3" s="36">
        <v>1</v>
      </c>
      <c r="BQ3" s="36">
        <v>4.7300000000000002E-2</v>
      </c>
      <c r="BR3" s="36">
        <v>4.7300000000000002E-2</v>
      </c>
      <c r="BS3" s="36" t="s">
        <v>137</v>
      </c>
      <c r="BT3" s="36">
        <v>1</v>
      </c>
      <c r="BU3" s="36">
        <v>0.12180000000000001</v>
      </c>
      <c r="BV3" s="36">
        <v>0.12180000000000001</v>
      </c>
      <c r="BW3" s="36" t="s">
        <v>137</v>
      </c>
      <c r="BX3" s="36">
        <v>1</v>
      </c>
      <c r="BY3" s="36">
        <v>0.1454</v>
      </c>
      <c r="BZ3" s="36">
        <v>0.1454</v>
      </c>
      <c r="CA3" s="36" t="s">
        <v>137</v>
      </c>
      <c r="CB3" s="36">
        <v>1</v>
      </c>
      <c r="CC3" s="36">
        <v>8.9300000000000004E-2</v>
      </c>
      <c r="CD3" s="36">
        <v>8.9300000000000004E-2</v>
      </c>
      <c r="CE3" s="36" t="s">
        <v>137</v>
      </c>
      <c r="CF3" s="36">
        <v>1</v>
      </c>
      <c r="CG3" s="36">
        <v>3.7499999999999999E-2</v>
      </c>
      <c r="CH3" s="36">
        <v>3.7499999999999999E-2</v>
      </c>
      <c r="CI3" s="36" t="s">
        <v>137</v>
      </c>
      <c r="CJ3" s="36">
        <v>1</v>
      </c>
      <c r="CK3" s="36">
        <v>3.8399999999999997E-2</v>
      </c>
      <c r="CL3" s="36">
        <v>3.8399999999999997E-2</v>
      </c>
    </row>
    <row r="4" spans="1:90" ht="15" thickBot="1" x14ac:dyDescent="0.35">
      <c r="A4" s="83"/>
      <c r="B4" s="80">
        <v>2017</v>
      </c>
      <c r="C4" s="78">
        <v>17606346</v>
      </c>
      <c r="D4" s="78">
        <v>548</v>
      </c>
      <c r="E4" s="4">
        <f>(D4/C4)*100000</f>
        <v>3.1125140900900163</v>
      </c>
      <c r="F4" s="4">
        <f>LN(E4)</f>
        <v>1.1354307887171309</v>
      </c>
      <c r="G4" s="97"/>
      <c r="H4" s="40"/>
      <c r="I4" s="40"/>
      <c r="J4" s="40"/>
      <c r="K4" s="82"/>
      <c r="L4" s="78">
        <v>8744254</v>
      </c>
      <c r="M4" s="78">
        <v>338</v>
      </c>
      <c r="N4" s="4">
        <f>(M4/L4)*100000</f>
        <v>3.8653954928573664</v>
      </c>
      <c r="O4" s="4">
        <f>LN(N4)</f>
        <v>1.3520640035462415</v>
      </c>
      <c r="P4" s="82"/>
      <c r="Q4" s="40"/>
      <c r="R4" s="40"/>
      <c r="S4" s="40"/>
      <c r="T4" s="82"/>
      <c r="U4" s="78">
        <v>8862092</v>
      </c>
      <c r="V4" s="78">
        <v>210</v>
      </c>
      <c r="W4" s="4">
        <f>(V4/U4)*100000</f>
        <v>2.3696436462180714</v>
      </c>
      <c r="X4" s="4">
        <f>LN(W4)</f>
        <v>0.86273958359626535</v>
      </c>
      <c r="Y4" s="82"/>
      <c r="Z4" s="40"/>
      <c r="AA4" s="40"/>
      <c r="AB4" s="40"/>
      <c r="AC4" s="97"/>
      <c r="AE4" s="36" t="s">
        <v>136</v>
      </c>
      <c r="AF4" s="36">
        <v>4</v>
      </c>
      <c r="AG4" s="36">
        <v>3.4599999999999999E-2</v>
      </c>
      <c r="AH4" s="36">
        <v>8.6E-3</v>
      </c>
      <c r="AI4" s="36" t="s">
        <v>136</v>
      </c>
      <c r="AJ4" s="36">
        <v>4</v>
      </c>
      <c r="AK4" s="36">
        <v>4.3E-3</v>
      </c>
      <c r="AL4" s="36">
        <v>1.1000000000000001E-3</v>
      </c>
      <c r="AM4" s="36" t="s">
        <v>136</v>
      </c>
      <c r="AN4" s="36">
        <v>4</v>
      </c>
      <c r="AO4" s="36">
        <v>2.6800000000000001E-2</v>
      </c>
      <c r="AP4" s="36">
        <v>6.7000000000000002E-3</v>
      </c>
      <c r="AQ4" s="36" t="s">
        <v>136</v>
      </c>
      <c r="AR4" s="36">
        <v>4</v>
      </c>
      <c r="AS4" s="36">
        <v>2.0999999999999999E-3</v>
      </c>
      <c r="AT4" s="36">
        <v>5.0000000000000001E-4</v>
      </c>
      <c r="AU4" s="36" t="s">
        <v>136</v>
      </c>
      <c r="AV4" s="36">
        <v>4</v>
      </c>
      <c r="AW4" s="36">
        <v>7.0000000000000001E-3</v>
      </c>
      <c r="AX4" s="36">
        <v>1.6999999999999999E-3</v>
      </c>
      <c r="AY4" s="36" t="s">
        <v>136</v>
      </c>
      <c r="AZ4" s="36">
        <v>4</v>
      </c>
      <c r="BA4" s="36">
        <v>7.0699999999999999E-2</v>
      </c>
      <c r="BB4" s="36">
        <v>1.77E-2</v>
      </c>
      <c r="BC4" s="36" t="s">
        <v>136</v>
      </c>
      <c r="BD4" s="36">
        <v>4</v>
      </c>
      <c r="BE4" s="36">
        <v>2.8E-3</v>
      </c>
      <c r="BF4" s="36">
        <v>6.9999999999999999E-4</v>
      </c>
      <c r="BG4" s="36" t="s">
        <v>136</v>
      </c>
      <c r="BH4" s="36">
        <v>4</v>
      </c>
      <c r="BI4" s="36">
        <v>2.0199999999999999E-2</v>
      </c>
      <c r="BJ4" s="36">
        <v>5.0000000000000001E-3</v>
      </c>
      <c r="BK4" s="36" t="s">
        <v>136</v>
      </c>
      <c r="BL4" s="36">
        <v>4</v>
      </c>
      <c r="BM4" s="36">
        <v>2.0999999999999999E-3</v>
      </c>
      <c r="BN4" s="36">
        <v>5.0000000000000001E-4</v>
      </c>
      <c r="BO4" s="36" t="s">
        <v>136</v>
      </c>
      <c r="BP4" s="36">
        <v>4</v>
      </c>
      <c r="BQ4" s="36">
        <v>6.4999999999999997E-3</v>
      </c>
      <c r="BR4" s="36">
        <v>1.6000000000000001E-3</v>
      </c>
      <c r="BS4" s="36" t="s">
        <v>136</v>
      </c>
      <c r="BT4" s="36">
        <v>4</v>
      </c>
      <c r="BU4" s="36">
        <v>6.4999999999999997E-3</v>
      </c>
      <c r="BV4" s="36">
        <v>1.6000000000000001E-3</v>
      </c>
      <c r="BW4" s="36" t="s">
        <v>136</v>
      </c>
      <c r="BX4" s="36">
        <v>4</v>
      </c>
      <c r="BY4" s="36">
        <v>8.6999999999999994E-3</v>
      </c>
      <c r="BZ4" s="36">
        <v>2.2000000000000001E-3</v>
      </c>
      <c r="CA4" s="36" t="s">
        <v>136</v>
      </c>
      <c r="CB4" s="36">
        <v>4</v>
      </c>
      <c r="CC4" s="36">
        <v>5.8000000000000003E-2</v>
      </c>
      <c r="CD4" s="36">
        <v>1.4500000000000001E-2</v>
      </c>
      <c r="CE4" s="36" t="s">
        <v>136</v>
      </c>
      <c r="CF4" s="36">
        <v>4</v>
      </c>
      <c r="CG4" s="36">
        <v>3.7000000000000002E-3</v>
      </c>
      <c r="CH4" s="36">
        <v>8.9999999999999998E-4</v>
      </c>
      <c r="CI4" s="36" t="s">
        <v>136</v>
      </c>
      <c r="CJ4" s="36">
        <v>4</v>
      </c>
      <c r="CK4" s="36">
        <v>9.2999999999999992E-3</v>
      </c>
      <c r="CL4" s="36">
        <v>2.3E-3</v>
      </c>
    </row>
    <row r="5" spans="1:90" ht="15" thickBot="1" x14ac:dyDescent="0.35">
      <c r="A5" s="83"/>
      <c r="B5" s="80">
        <v>2018</v>
      </c>
      <c r="C5" s="78">
        <v>17783329</v>
      </c>
      <c r="D5" s="78">
        <v>494</v>
      </c>
      <c r="E5" s="4">
        <f>(D5/C5)*100000</f>
        <v>2.7778825887998813</v>
      </c>
      <c r="F5" s="4">
        <f>LN(E5)</f>
        <v>1.0216889787881058</v>
      </c>
      <c r="G5" s="97"/>
      <c r="H5" s="40"/>
      <c r="I5" s="40"/>
      <c r="J5" s="40"/>
      <c r="K5" s="82"/>
      <c r="L5" s="78">
        <v>8832449</v>
      </c>
      <c r="M5" s="78">
        <v>277</v>
      </c>
      <c r="N5" s="4">
        <f>(M5/L5)*100000</f>
        <v>3.1361630279438919</v>
      </c>
      <c r="O5" s="4">
        <f>LN(N5)</f>
        <v>1.1430000870884347</v>
      </c>
      <c r="P5" s="82"/>
      <c r="Q5" s="40"/>
      <c r="R5" s="40"/>
      <c r="S5" s="40"/>
      <c r="T5" s="82"/>
      <c r="U5" s="78">
        <v>8950880</v>
      </c>
      <c r="V5" s="78">
        <v>217</v>
      </c>
      <c r="W5" s="4">
        <f>(V5/U5)*100000</f>
        <v>2.4243426344672256</v>
      </c>
      <c r="X5" s="4">
        <f>LN(W5)</f>
        <v>0.88556040907079336</v>
      </c>
      <c r="Y5" s="82"/>
      <c r="Z5" s="40"/>
      <c r="AA5" s="40"/>
      <c r="AB5" s="40"/>
      <c r="AC5" s="97"/>
      <c r="AE5" s="36" t="s">
        <v>135</v>
      </c>
      <c r="AF5" s="36">
        <v>5</v>
      </c>
      <c r="AG5" s="36">
        <v>0.1547</v>
      </c>
      <c r="AH5" s="36" t="s">
        <v>134</v>
      </c>
      <c r="AI5" s="36" t="s">
        <v>135</v>
      </c>
      <c r="AJ5" s="36">
        <v>5</v>
      </c>
      <c r="AK5" s="36">
        <v>0.16270000000000001</v>
      </c>
      <c r="AL5" s="36" t="s">
        <v>134</v>
      </c>
      <c r="AM5" s="36" t="s">
        <v>135</v>
      </c>
      <c r="AN5" s="36">
        <v>5</v>
      </c>
      <c r="AO5" s="36">
        <v>0.10639999999999999</v>
      </c>
      <c r="AP5" s="36" t="s">
        <v>134</v>
      </c>
      <c r="AQ5" s="36" t="s">
        <v>135</v>
      </c>
      <c r="AR5" s="36">
        <v>5</v>
      </c>
      <c r="AS5" s="36">
        <v>4.24E-2</v>
      </c>
      <c r="AT5" s="36" t="s">
        <v>134</v>
      </c>
      <c r="AU5" s="36" t="s">
        <v>135</v>
      </c>
      <c r="AV5" s="36">
        <v>5</v>
      </c>
      <c r="AW5" s="36">
        <v>5.2699999999999997E-2</v>
      </c>
      <c r="AX5" s="36" t="s">
        <v>134</v>
      </c>
      <c r="AY5" s="36" t="s">
        <v>135</v>
      </c>
      <c r="AZ5" s="36">
        <v>5</v>
      </c>
      <c r="BA5" s="36">
        <v>0.19750000000000001</v>
      </c>
      <c r="BB5" s="36" t="s">
        <v>134</v>
      </c>
      <c r="BC5" s="36" t="s">
        <v>135</v>
      </c>
      <c r="BD5" s="36">
        <v>5</v>
      </c>
      <c r="BE5" s="36">
        <v>0.16789999999999999</v>
      </c>
      <c r="BF5" s="36" t="s">
        <v>134</v>
      </c>
      <c r="BG5" s="36" t="s">
        <v>135</v>
      </c>
      <c r="BH5" s="36">
        <v>5</v>
      </c>
      <c r="BI5" s="36">
        <v>8.8700000000000001E-2</v>
      </c>
      <c r="BJ5" s="36" t="s">
        <v>134</v>
      </c>
      <c r="BK5" s="36" t="s">
        <v>135</v>
      </c>
      <c r="BL5" s="36">
        <v>5</v>
      </c>
      <c r="BM5" s="36">
        <v>4.5900000000000003E-2</v>
      </c>
      <c r="BN5" s="36" t="s">
        <v>134</v>
      </c>
      <c r="BO5" s="36" t="s">
        <v>135</v>
      </c>
      <c r="BP5" s="36">
        <v>5</v>
      </c>
      <c r="BQ5" s="36">
        <v>5.3800000000000001E-2</v>
      </c>
      <c r="BR5" s="36" t="s">
        <v>134</v>
      </c>
      <c r="BS5" s="36" t="s">
        <v>135</v>
      </c>
      <c r="BT5" s="36">
        <v>5</v>
      </c>
      <c r="BU5" s="36">
        <v>0.1283</v>
      </c>
      <c r="BV5" s="36" t="s">
        <v>134</v>
      </c>
      <c r="BW5" s="36" t="s">
        <v>135</v>
      </c>
      <c r="BX5" s="36">
        <v>5</v>
      </c>
      <c r="BY5" s="36">
        <v>0.15409999999999999</v>
      </c>
      <c r="BZ5" s="36" t="s">
        <v>134</v>
      </c>
      <c r="CA5" s="36" t="s">
        <v>135</v>
      </c>
      <c r="CB5" s="36">
        <v>5</v>
      </c>
      <c r="CC5" s="36">
        <v>0.14729999999999999</v>
      </c>
      <c r="CD5" s="36" t="s">
        <v>134</v>
      </c>
      <c r="CE5" s="36" t="s">
        <v>135</v>
      </c>
      <c r="CF5" s="36">
        <v>5</v>
      </c>
      <c r="CG5" s="36">
        <v>4.1200000000000001E-2</v>
      </c>
      <c r="CH5" s="36" t="s">
        <v>134</v>
      </c>
      <c r="CI5" s="36" t="s">
        <v>135</v>
      </c>
      <c r="CJ5" s="36">
        <v>5</v>
      </c>
      <c r="CK5" s="36">
        <v>4.7699999999999999E-2</v>
      </c>
      <c r="CL5" s="36" t="s">
        <v>134</v>
      </c>
    </row>
    <row r="6" spans="1:90" ht="15" thickBot="1" x14ac:dyDescent="0.35">
      <c r="A6" s="83"/>
      <c r="B6" s="80">
        <v>2019</v>
      </c>
      <c r="C6" s="78">
        <v>17970930</v>
      </c>
      <c r="D6" s="78">
        <v>615</v>
      </c>
      <c r="E6" s="4">
        <f>(D6/C6)*100000</f>
        <v>3.422193509183999</v>
      </c>
      <c r="F6" s="4">
        <f>LN(E6)</f>
        <v>1.230281722434605</v>
      </c>
      <c r="G6" s="97"/>
      <c r="H6" s="40"/>
      <c r="I6" s="40"/>
      <c r="J6" s="40"/>
      <c r="K6" s="82"/>
      <c r="L6" s="78">
        <v>8926002</v>
      </c>
      <c r="M6" s="78">
        <v>370</v>
      </c>
      <c r="N6" s="4">
        <f>(M6/L6)*100000</f>
        <v>4.1451928870282577</v>
      </c>
      <c r="O6" s="4">
        <f>LN(N6)</f>
        <v>1.4219493223726409</v>
      </c>
      <c r="P6" s="82"/>
      <c r="Q6" s="40"/>
      <c r="R6" s="40"/>
      <c r="S6" s="40"/>
      <c r="T6" s="82"/>
      <c r="U6" s="78">
        <v>9044928</v>
      </c>
      <c r="V6" s="78">
        <v>245</v>
      </c>
      <c r="W6" s="4">
        <f>(V6/U6)*100000</f>
        <v>2.7087003898759616</v>
      </c>
      <c r="X6" s="4">
        <f>LN(W6)</f>
        <v>0.99646895893411047</v>
      </c>
      <c r="Y6" s="82"/>
      <c r="Z6" s="40"/>
      <c r="AA6" s="40"/>
      <c r="AB6" s="40"/>
      <c r="AC6" s="97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</row>
    <row r="7" spans="1:90" ht="15" thickBot="1" x14ac:dyDescent="0.35">
      <c r="A7" s="83"/>
      <c r="B7" s="80">
        <v>2020</v>
      </c>
      <c r="C7" s="78">
        <v>18137222</v>
      </c>
      <c r="D7" s="78">
        <v>751</v>
      </c>
      <c r="E7" s="4">
        <f>(D7/C7)*100000</f>
        <v>4.1406561600227416</v>
      </c>
      <c r="F7" s="4">
        <f>LN(E7)</f>
        <v>1.420854268037689</v>
      </c>
      <c r="G7" s="97"/>
      <c r="H7" s="40"/>
      <c r="I7" s="40"/>
      <c r="J7" s="40"/>
      <c r="K7" s="82"/>
      <c r="L7" s="78">
        <v>9011734</v>
      </c>
      <c r="M7" s="78">
        <v>468</v>
      </c>
      <c r="N7" s="4">
        <f>(M7/L7)*100000</f>
        <v>5.193229183196042</v>
      </c>
      <c r="O7" s="4">
        <f>LN(N7)</f>
        <v>1.647355696989836</v>
      </c>
      <c r="P7" s="82"/>
      <c r="Q7" s="40"/>
      <c r="R7" s="40"/>
      <c r="S7" s="40"/>
      <c r="T7" s="82"/>
      <c r="U7" s="78">
        <v>9125488</v>
      </c>
      <c r="V7" s="78">
        <v>283</v>
      </c>
      <c r="W7" s="4">
        <f>(V7/U7)*100000</f>
        <v>3.1012040123224094</v>
      </c>
      <c r="X7" s="4">
        <f>LN(W7)</f>
        <v>1.1317904271585568</v>
      </c>
      <c r="Y7" s="82"/>
      <c r="Z7" s="40"/>
      <c r="AA7" s="40"/>
      <c r="AB7" s="40"/>
      <c r="AC7" s="97"/>
      <c r="AE7" s="36" t="s">
        <v>120</v>
      </c>
      <c r="AF7" s="36">
        <v>13.8932</v>
      </c>
      <c r="AG7" s="36" t="s">
        <v>348</v>
      </c>
      <c r="AH7" s="36"/>
      <c r="AI7" s="36" t="s">
        <v>120</v>
      </c>
      <c r="AJ7" s="36">
        <v>148.37960000000001</v>
      </c>
      <c r="AK7" s="36" t="s">
        <v>298</v>
      </c>
      <c r="AL7" s="36"/>
      <c r="AM7" s="36" t="s">
        <v>120</v>
      </c>
      <c r="AN7" s="36">
        <v>11.860300000000001</v>
      </c>
      <c r="AO7" s="36" t="s">
        <v>347</v>
      </c>
      <c r="AP7" s="36"/>
      <c r="AQ7" s="36" t="s">
        <v>120</v>
      </c>
      <c r="AR7" s="36">
        <v>77.538499999999999</v>
      </c>
      <c r="AS7" s="36" t="s">
        <v>346</v>
      </c>
      <c r="AT7" s="36"/>
      <c r="AU7" s="36" t="s">
        <v>120</v>
      </c>
      <c r="AV7" s="36">
        <v>26.241599999999998</v>
      </c>
      <c r="AW7" s="36" t="s">
        <v>14</v>
      </c>
      <c r="AX7" s="36"/>
      <c r="AY7" s="36" t="s">
        <v>120</v>
      </c>
      <c r="AZ7" s="36">
        <v>7.1805000000000003</v>
      </c>
      <c r="BA7" s="36" t="s">
        <v>345</v>
      </c>
      <c r="BB7" s="36"/>
      <c r="BC7" s="36" t="s">
        <v>120</v>
      </c>
      <c r="BD7" s="36">
        <v>236.7235</v>
      </c>
      <c r="BE7" s="36" t="s">
        <v>92</v>
      </c>
      <c r="BF7" s="36"/>
      <c r="BG7" s="36" t="s">
        <v>120</v>
      </c>
      <c r="BH7" s="36">
        <v>13.5893</v>
      </c>
      <c r="BI7" s="36" t="s">
        <v>344</v>
      </c>
      <c r="BJ7" s="36"/>
      <c r="BK7" s="36" t="s">
        <v>120</v>
      </c>
      <c r="BL7" s="36">
        <v>82.031199999999998</v>
      </c>
      <c r="BM7" s="36" t="s">
        <v>343</v>
      </c>
      <c r="BN7" s="36"/>
      <c r="BO7" s="36" t="s">
        <v>120</v>
      </c>
      <c r="BP7" s="36">
        <v>29.209900000000001</v>
      </c>
      <c r="BQ7" s="36" t="s">
        <v>342</v>
      </c>
      <c r="BR7" s="36"/>
      <c r="BS7" s="36" t="s">
        <v>120</v>
      </c>
      <c r="BT7" s="36">
        <v>74.640199999999993</v>
      </c>
      <c r="BU7" s="36" t="s">
        <v>341</v>
      </c>
      <c r="BV7" s="36"/>
      <c r="BW7" s="36" t="s">
        <v>120</v>
      </c>
      <c r="BX7" s="36">
        <v>66.7577</v>
      </c>
      <c r="BY7" s="36" t="s">
        <v>340</v>
      </c>
      <c r="BZ7" s="36"/>
      <c r="CA7" s="36" t="s">
        <v>120</v>
      </c>
      <c r="CB7" s="36">
        <v>6.1525999999999996</v>
      </c>
      <c r="CC7" s="36" t="s">
        <v>339</v>
      </c>
      <c r="CD7" s="36"/>
      <c r="CE7" s="36" t="s">
        <v>120</v>
      </c>
      <c r="CF7" s="36">
        <v>40.437600000000003</v>
      </c>
      <c r="CG7" s="36" t="s">
        <v>338</v>
      </c>
      <c r="CH7" s="36"/>
      <c r="CI7" s="36" t="s">
        <v>120</v>
      </c>
      <c r="CJ7" s="36">
        <v>16.507400000000001</v>
      </c>
      <c r="CK7" s="36" t="s">
        <v>337</v>
      </c>
      <c r="CL7" s="36"/>
    </row>
    <row r="8" spans="1:90" ht="15" thickBot="1" x14ac:dyDescent="0.35">
      <c r="A8" s="81"/>
      <c r="B8" s="80">
        <v>2021</v>
      </c>
      <c r="C8" s="78">
        <v>18272491</v>
      </c>
      <c r="D8" s="78">
        <v>713</v>
      </c>
      <c r="E8" s="4">
        <f>(D8/C8)*100000</f>
        <v>3.9020405044938862</v>
      </c>
      <c r="F8" s="4">
        <f>LN(E8)</f>
        <v>1.3614996225914013</v>
      </c>
      <c r="G8" s="96"/>
      <c r="H8" s="40"/>
      <c r="I8" s="40"/>
      <c r="J8" s="40"/>
      <c r="K8" s="77"/>
      <c r="L8" s="78">
        <v>9084053</v>
      </c>
      <c r="M8" s="78">
        <v>432</v>
      </c>
      <c r="N8" s="4">
        <f>(M8/L8)*100000</f>
        <v>4.7555865206863057</v>
      </c>
      <c r="O8" s="4">
        <f>LN(N8)</f>
        <v>1.5593200365896027</v>
      </c>
      <c r="P8" s="77"/>
      <c r="Q8" s="40"/>
      <c r="R8" s="40"/>
      <c r="S8" s="40"/>
      <c r="T8" s="77"/>
      <c r="U8" s="78">
        <v>9188438</v>
      </c>
      <c r="V8" s="78">
        <v>281</v>
      </c>
      <c r="W8" s="4">
        <f>(V8/U8)*100000</f>
        <v>3.0581911746044321</v>
      </c>
      <c r="X8" s="4">
        <f>LN(W8)</f>
        <v>1.1178236217740138</v>
      </c>
      <c r="Y8" s="77"/>
      <c r="Z8" s="40"/>
      <c r="AA8" s="40"/>
      <c r="AB8" s="40"/>
      <c r="AC8" s="96"/>
      <c r="AE8" s="36" t="s">
        <v>116</v>
      </c>
      <c r="AF8" s="36" t="s">
        <v>234</v>
      </c>
      <c r="AG8" s="36" t="s">
        <v>336</v>
      </c>
      <c r="AH8" s="36"/>
      <c r="AI8" s="36" t="s">
        <v>116</v>
      </c>
      <c r="AJ8" s="36" t="s">
        <v>234</v>
      </c>
      <c r="AK8" s="36"/>
      <c r="AL8" s="36"/>
      <c r="AM8" s="36" t="s">
        <v>116</v>
      </c>
      <c r="AN8" s="36" t="s">
        <v>234</v>
      </c>
      <c r="AO8" s="36"/>
      <c r="AP8" s="36"/>
      <c r="AQ8" s="36" t="s">
        <v>116</v>
      </c>
      <c r="AR8" s="36" t="s">
        <v>234</v>
      </c>
      <c r="AS8" s="36"/>
      <c r="AT8" s="36"/>
      <c r="AU8" s="36" t="s">
        <v>116</v>
      </c>
      <c r="AV8" s="36" t="s">
        <v>234</v>
      </c>
      <c r="AW8" s="36"/>
      <c r="AX8" s="36"/>
      <c r="AY8" s="36" t="s">
        <v>116</v>
      </c>
      <c r="AZ8" s="36" t="s">
        <v>335</v>
      </c>
      <c r="BA8" s="36"/>
      <c r="BB8" s="36"/>
      <c r="BC8" s="36" t="s">
        <v>116</v>
      </c>
      <c r="BD8" s="36" t="s">
        <v>335</v>
      </c>
      <c r="BE8" s="36"/>
      <c r="BF8" s="36"/>
      <c r="BG8" s="36" t="s">
        <v>116</v>
      </c>
      <c r="BH8" s="36" t="s">
        <v>335</v>
      </c>
      <c r="BI8" s="36"/>
      <c r="BJ8" s="36"/>
      <c r="BK8" s="36" t="s">
        <v>116</v>
      </c>
      <c r="BL8" s="36" t="s">
        <v>335</v>
      </c>
      <c r="BM8" s="36"/>
      <c r="BN8" s="36"/>
      <c r="BO8" s="36" t="s">
        <v>116</v>
      </c>
      <c r="BP8" s="36" t="s">
        <v>335</v>
      </c>
      <c r="BQ8" s="36"/>
      <c r="BR8" s="36"/>
      <c r="BS8" s="36" t="s">
        <v>116</v>
      </c>
      <c r="BT8" s="36" t="s">
        <v>334</v>
      </c>
      <c r="BU8" s="36"/>
      <c r="BV8" s="36"/>
      <c r="BW8" s="36" t="s">
        <v>116</v>
      </c>
      <c r="BX8" s="36" t="s">
        <v>334</v>
      </c>
      <c r="BY8" s="36"/>
      <c r="BZ8" s="36"/>
      <c r="CA8" s="36" t="s">
        <v>116</v>
      </c>
      <c r="CB8" s="36" t="s">
        <v>334</v>
      </c>
      <c r="CC8" s="36"/>
      <c r="CD8" s="36"/>
      <c r="CE8" s="36" t="s">
        <v>116</v>
      </c>
      <c r="CF8" s="36" t="s">
        <v>334</v>
      </c>
      <c r="CG8" s="36"/>
      <c r="CH8" s="36"/>
      <c r="CI8" s="36" t="s">
        <v>116</v>
      </c>
      <c r="CJ8" s="36" t="s">
        <v>334</v>
      </c>
      <c r="CK8" s="36"/>
      <c r="CL8" s="36"/>
    </row>
    <row r="9" spans="1:90" ht="15" thickBot="1" x14ac:dyDescent="0.35">
      <c r="A9" s="92" t="s">
        <v>13</v>
      </c>
      <c r="B9" s="87">
        <v>2016</v>
      </c>
      <c r="C9" s="87">
        <v>55483846</v>
      </c>
      <c r="D9" s="87">
        <v>3142</v>
      </c>
      <c r="E9" s="4">
        <f>(D9/C9)*100000</f>
        <v>5.6629095250534727</v>
      </c>
      <c r="F9" s="4">
        <f>LN(E9)</f>
        <v>1.7339378104992695</v>
      </c>
      <c r="G9" s="95">
        <v>9.5100000000000004E-2</v>
      </c>
      <c r="H9" s="40">
        <f>(EXP(G9) -1) * 100</f>
        <v>9.976882651009312</v>
      </c>
      <c r="I9" s="40">
        <f>(EXP(0.073) -1) * 100</f>
        <v>7.5730536914703439</v>
      </c>
      <c r="J9" s="40">
        <f>(EXP(0.117) -1) * 100</f>
        <v>12.41194296905368</v>
      </c>
      <c r="K9" s="91" t="s">
        <v>10</v>
      </c>
      <c r="L9" s="87">
        <v>28475765</v>
      </c>
      <c r="M9" s="87">
        <v>2011</v>
      </c>
      <c r="N9" s="4">
        <f>(M9/L9)*100000</f>
        <v>7.0621456526277688</v>
      </c>
      <c r="O9" s="4">
        <f>LN(N9)</f>
        <v>1.9547489221345944</v>
      </c>
      <c r="P9" s="91">
        <v>9.7100000000000006E-2</v>
      </c>
      <c r="Q9" s="40">
        <f>(EXP(P9) -1) * 100</f>
        <v>10.197056516785818</v>
      </c>
      <c r="R9" s="40">
        <f>(EXP(0.08) -1) * 100</f>
        <v>8.3287067674958628</v>
      </c>
      <c r="S9" s="40">
        <f>(EXP(0.115) -1) * 100</f>
        <v>12.187343757193837</v>
      </c>
      <c r="T9" s="91" t="s">
        <v>10</v>
      </c>
      <c r="U9" s="87">
        <v>27008081</v>
      </c>
      <c r="V9" s="87">
        <v>1131</v>
      </c>
      <c r="W9" s="4">
        <f>(V9/U9)*100000</f>
        <v>4.187635545080008</v>
      </c>
      <c r="X9" s="4">
        <f>LN(W9)</f>
        <v>1.4321362656016512</v>
      </c>
      <c r="Y9" s="91">
        <v>9.11E-2</v>
      </c>
      <c r="Z9" s="40">
        <f>(EXP(Y9) -1) * 100</f>
        <v>9.5378537635518725</v>
      </c>
      <c r="AA9" s="40">
        <f>(EXP(0.06) -1) * 100</f>
        <v>6.1836546545359639</v>
      </c>
      <c r="AB9" s="40">
        <f>(EXP(0.122) -1) * 100</f>
        <v>12.975410178031876</v>
      </c>
      <c r="AC9" s="91">
        <v>1.1999999999999999E-3</v>
      </c>
      <c r="AE9" s="36" t="s">
        <v>114</v>
      </c>
      <c r="AF9" s="36" t="s">
        <v>113</v>
      </c>
      <c r="AG9" s="36" t="s">
        <v>333</v>
      </c>
      <c r="AH9" s="36"/>
      <c r="AI9" s="36" t="s">
        <v>114</v>
      </c>
      <c r="AJ9" s="36" t="s">
        <v>113</v>
      </c>
      <c r="AK9" s="36"/>
      <c r="AL9" s="36"/>
      <c r="AM9" s="36" t="s">
        <v>114</v>
      </c>
      <c r="AN9" s="36" t="s">
        <v>113</v>
      </c>
      <c r="AO9" s="36"/>
      <c r="AP9" s="36"/>
      <c r="AQ9" s="36" t="s">
        <v>114</v>
      </c>
      <c r="AR9" s="36" t="s">
        <v>113</v>
      </c>
      <c r="AS9" s="36"/>
      <c r="AT9" s="36"/>
      <c r="AU9" s="36" t="s">
        <v>114</v>
      </c>
      <c r="AV9" s="36" t="s">
        <v>113</v>
      </c>
      <c r="AW9" s="36"/>
      <c r="AX9" s="36"/>
      <c r="AY9" s="36" t="s">
        <v>114</v>
      </c>
      <c r="AZ9" s="36" t="s">
        <v>113</v>
      </c>
      <c r="BA9" s="36"/>
      <c r="BB9" s="36"/>
      <c r="BC9" s="36" t="s">
        <v>114</v>
      </c>
      <c r="BD9" s="36" t="s">
        <v>113</v>
      </c>
      <c r="BE9" s="36"/>
      <c r="BF9" s="36"/>
      <c r="BG9" s="36" t="s">
        <v>114</v>
      </c>
      <c r="BH9" s="36" t="s">
        <v>113</v>
      </c>
      <c r="BI9" s="36"/>
      <c r="BJ9" s="36"/>
      <c r="BK9" s="36" t="s">
        <v>114</v>
      </c>
      <c r="BL9" s="36" t="s">
        <v>113</v>
      </c>
      <c r="BM9" s="36"/>
      <c r="BN9" s="36"/>
      <c r="BO9" s="36" t="s">
        <v>114</v>
      </c>
      <c r="BP9" s="36" t="s">
        <v>113</v>
      </c>
      <c r="BQ9" s="36"/>
      <c r="BR9" s="36"/>
      <c r="BS9" s="36" t="s">
        <v>114</v>
      </c>
      <c r="BT9" s="36" t="s">
        <v>113</v>
      </c>
      <c r="BU9" s="36"/>
      <c r="BV9" s="36"/>
      <c r="BW9" s="36" t="s">
        <v>114</v>
      </c>
      <c r="BX9" s="36" t="s">
        <v>113</v>
      </c>
      <c r="BY9" s="36"/>
      <c r="BZ9" s="36"/>
      <c r="CA9" s="36" t="s">
        <v>114</v>
      </c>
      <c r="CB9" s="36" t="s">
        <v>113</v>
      </c>
      <c r="CC9" s="36"/>
      <c r="CD9" s="36"/>
      <c r="CE9" s="36" t="s">
        <v>114</v>
      </c>
      <c r="CF9" s="36" t="s">
        <v>113</v>
      </c>
      <c r="CG9" s="36"/>
      <c r="CH9" s="36"/>
      <c r="CI9" s="36" t="s">
        <v>114</v>
      </c>
      <c r="CJ9" s="36" t="s">
        <v>113</v>
      </c>
      <c r="CK9" s="36"/>
      <c r="CL9" s="36"/>
    </row>
    <row r="10" spans="1:90" ht="15" thickBot="1" x14ac:dyDescent="0.35">
      <c r="A10" s="90"/>
      <c r="B10" s="87">
        <v>2017</v>
      </c>
      <c r="C10" s="87">
        <v>55729786</v>
      </c>
      <c r="D10" s="87">
        <v>3648</v>
      </c>
      <c r="E10" s="4">
        <f>(D10/C10)*100000</f>
        <v>6.5458711791931163</v>
      </c>
      <c r="F10" s="4">
        <f>LN(E10)</f>
        <v>1.8788344965686843</v>
      </c>
      <c r="G10" s="94"/>
      <c r="H10" s="40"/>
      <c r="I10" s="40"/>
      <c r="J10" s="40"/>
      <c r="K10" s="89"/>
      <c r="L10" s="87">
        <v>28610261</v>
      </c>
      <c r="M10" s="87">
        <v>2297</v>
      </c>
      <c r="N10" s="4">
        <f>(M10/L10)*100000</f>
        <v>8.0285880649603296</v>
      </c>
      <c r="O10" s="4">
        <f>LN(N10)</f>
        <v>2.083008679990269</v>
      </c>
      <c r="P10" s="89"/>
      <c r="Q10" s="40"/>
      <c r="R10" s="40"/>
      <c r="S10" s="40"/>
      <c r="T10" s="89"/>
      <c r="U10" s="87">
        <v>27119525</v>
      </c>
      <c r="V10" s="87">
        <v>1351</v>
      </c>
      <c r="W10" s="4">
        <f>(V10/U10)*100000</f>
        <v>4.9816506741913802</v>
      </c>
      <c r="X10" s="4">
        <f>LN(W10)</f>
        <v>1.6057612967966057</v>
      </c>
      <c r="Y10" s="89"/>
      <c r="Z10" s="40"/>
      <c r="AA10" s="40"/>
      <c r="AB10" s="40"/>
      <c r="AC10" s="89"/>
      <c r="AE10" s="36" t="s">
        <v>112</v>
      </c>
      <c r="AF10" s="36">
        <v>3.5</v>
      </c>
      <c r="AG10" s="36"/>
      <c r="AH10" s="36"/>
      <c r="AI10" s="36" t="s">
        <v>112</v>
      </c>
      <c r="AJ10" s="36">
        <v>3.5</v>
      </c>
      <c r="AK10" s="36"/>
      <c r="AL10" s="36"/>
      <c r="AM10" s="36" t="s">
        <v>112</v>
      </c>
      <c r="AN10" s="36">
        <v>3.5</v>
      </c>
      <c r="AO10" s="36"/>
      <c r="AP10" s="36"/>
      <c r="AQ10" s="36" t="s">
        <v>112</v>
      </c>
      <c r="AR10" s="36">
        <v>3.5</v>
      </c>
      <c r="AS10" s="36"/>
      <c r="AT10" s="36"/>
      <c r="AU10" s="36" t="s">
        <v>112</v>
      </c>
      <c r="AV10" s="36">
        <v>3.5</v>
      </c>
      <c r="AW10" s="36"/>
      <c r="AX10" s="36"/>
      <c r="AY10" s="36" t="s">
        <v>112</v>
      </c>
      <c r="AZ10" s="36">
        <v>3.5</v>
      </c>
      <c r="BA10" s="36"/>
      <c r="BB10" s="36"/>
      <c r="BC10" s="36" t="s">
        <v>112</v>
      </c>
      <c r="BD10" s="36">
        <v>3.5</v>
      </c>
      <c r="BE10" s="36"/>
      <c r="BF10" s="36"/>
      <c r="BG10" s="36" t="s">
        <v>112</v>
      </c>
      <c r="BH10" s="36">
        <v>3.5</v>
      </c>
      <c r="BI10" s="36"/>
      <c r="BJ10" s="36"/>
      <c r="BK10" s="36" t="s">
        <v>112</v>
      </c>
      <c r="BL10" s="36">
        <v>3.5</v>
      </c>
      <c r="BM10" s="36"/>
      <c r="BN10" s="36"/>
      <c r="BO10" s="36" t="s">
        <v>112</v>
      </c>
      <c r="BP10" s="36">
        <v>3.5</v>
      </c>
      <c r="BQ10" s="36"/>
      <c r="BR10" s="36"/>
      <c r="BS10" s="36" t="s">
        <v>112</v>
      </c>
      <c r="BT10" s="36">
        <v>3.5</v>
      </c>
      <c r="BU10" s="36"/>
      <c r="BV10" s="36"/>
      <c r="BW10" s="36" t="s">
        <v>112</v>
      </c>
      <c r="BX10" s="36">
        <v>3.5</v>
      </c>
      <c r="BY10" s="36"/>
      <c r="BZ10" s="36"/>
      <c r="CA10" s="36" t="s">
        <v>112</v>
      </c>
      <c r="CB10" s="36">
        <v>3.5</v>
      </c>
      <c r="CC10" s="36"/>
      <c r="CD10" s="36"/>
      <c r="CE10" s="36" t="s">
        <v>112</v>
      </c>
      <c r="CF10" s="36">
        <v>3.5</v>
      </c>
      <c r="CG10" s="36"/>
      <c r="CH10" s="36"/>
      <c r="CI10" s="36" t="s">
        <v>112</v>
      </c>
      <c r="CJ10" s="36">
        <v>3.5</v>
      </c>
      <c r="CK10" s="36"/>
      <c r="CL10" s="36"/>
    </row>
    <row r="11" spans="1:90" ht="15" thickBot="1" x14ac:dyDescent="0.35">
      <c r="A11" s="90"/>
      <c r="B11" s="87">
        <v>2018</v>
      </c>
      <c r="C11" s="87">
        <v>55987936</v>
      </c>
      <c r="D11" s="87">
        <v>3715</v>
      </c>
      <c r="E11" s="4">
        <f>(D11/C11)*100000</f>
        <v>6.6353580171271176</v>
      </c>
      <c r="F11" s="4">
        <f>LN(E11)</f>
        <v>1.8924126252021609</v>
      </c>
      <c r="G11" s="94"/>
      <c r="H11" s="40"/>
      <c r="I11" s="40"/>
      <c r="J11" s="40"/>
      <c r="K11" s="89"/>
      <c r="L11" s="87">
        <v>28748736</v>
      </c>
      <c r="M11" s="87">
        <v>2365</v>
      </c>
      <c r="N11" s="4">
        <f>(M11/L11)*100000</f>
        <v>8.2264486341242957</v>
      </c>
      <c r="O11" s="4">
        <f>LN(N11)</f>
        <v>2.1073544068725178</v>
      </c>
      <c r="P11" s="89"/>
      <c r="Q11" s="40"/>
      <c r="R11" s="40"/>
      <c r="S11" s="40"/>
      <c r="T11" s="89"/>
      <c r="U11" s="87">
        <v>27239200</v>
      </c>
      <c r="V11" s="87">
        <v>1350</v>
      </c>
      <c r="W11" s="4">
        <f>(V11/U11)*100000</f>
        <v>4.9560926899468409</v>
      </c>
      <c r="X11" s="4">
        <f>LN(W11)</f>
        <v>1.6006176661640068</v>
      </c>
      <c r="Y11" s="89"/>
      <c r="Z11" s="40"/>
      <c r="AA11" s="40"/>
      <c r="AB11" s="40"/>
      <c r="AC11" s="89"/>
      <c r="AE11" s="36" t="s">
        <v>111</v>
      </c>
      <c r="AF11" s="36">
        <v>1.1933</v>
      </c>
      <c r="AG11" s="36"/>
      <c r="AH11" s="36"/>
      <c r="AI11" s="36" t="s">
        <v>111</v>
      </c>
      <c r="AJ11" s="36">
        <v>1.9817</v>
      </c>
      <c r="AK11" s="36"/>
      <c r="AL11" s="36"/>
      <c r="AM11" s="36" t="s">
        <v>111</v>
      </c>
      <c r="AN11" s="36">
        <v>2.14</v>
      </c>
      <c r="AO11" s="36"/>
      <c r="AP11" s="36"/>
      <c r="AQ11" s="36" t="s">
        <v>111</v>
      </c>
      <c r="AR11" s="36">
        <v>2.56</v>
      </c>
      <c r="AS11" s="36"/>
      <c r="AT11" s="36"/>
      <c r="AU11" s="36" t="s">
        <v>111</v>
      </c>
      <c r="AV11" s="36">
        <v>2.6949999999999998</v>
      </c>
      <c r="AW11" s="36"/>
      <c r="AX11" s="36"/>
      <c r="AY11" s="36" t="s">
        <v>111</v>
      </c>
      <c r="AZ11" s="36">
        <v>1.3867</v>
      </c>
      <c r="BA11" s="36"/>
      <c r="BB11" s="36"/>
      <c r="BC11" s="36" t="s">
        <v>111</v>
      </c>
      <c r="BD11" s="36">
        <v>2.1966999999999999</v>
      </c>
      <c r="BE11" s="36"/>
      <c r="BF11" s="36"/>
      <c r="BG11" s="36" t="s">
        <v>111</v>
      </c>
      <c r="BH11" s="36">
        <v>2.3083</v>
      </c>
      <c r="BI11" s="36"/>
      <c r="BJ11" s="36"/>
      <c r="BK11" s="36" t="s">
        <v>111</v>
      </c>
      <c r="BL11" s="36">
        <v>2.8016999999999999</v>
      </c>
      <c r="BM11" s="36"/>
      <c r="BN11" s="36"/>
      <c r="BO11" s="36" t="s">
        <v>111</v>
      </c>
      <c r="BP11" s="36">
        <v>2.94</v>
      </c>
      <c r="BQ11" s="36"/>
      <c r="BR11" s="36"/>
      <c r="BS11" s="36" t="s">
        <v>111</v>
      </c>
      <c r="BT11" s="36">
        <v>0.95330000000000004</v>
      </c>
      <c r="BU11" s="36"/>
      <c r="BV11" s="36"/>
      <c r="BW11" s="36" t="s">
        <v>111</v>
      </c>
      <c r="BX11" s="36">
        <v>1.6917</v>
      </c>
      <c r="BY11" s="36"/>
      <c r="BZ11" s="36"/>
      <c r="CA11" s="36" t="s">
        <v>111</v>
      </c>
      <c r="CB11" s="36">
        <v>1.9267000000000001</v>
      </c>
      <c r="CC11" s="36"/>
      <c r="CD11" s="36"/>
      <c r="CE11" s="36" t="s">
        <v>111</v>
      </c>
      <c r="CF11" s="36">
        <v>2.2200000000000002</v>
      </c>
      <c r="CG11" s="36"/>
      <c r="CH11" s="36"/>
      <c r="CI11" s="36" t="s">
        <v>111</v>
      </c>
      <c r="CJ11" s="36">
        <v>2.3567</v>
      </c>
      <c r="CK11" s="36"/>
      <c r="CL11" s="36"/>
    </row>
    <row r="12" spans="1:90" ht="15" thickBot="1" x14ac:dyDescent="0.35">
      <c r="A12" s="90"/>
      <c r="B12" s="87">
        <v>2019</v>
      </c>
      <c r="C12" s="87">
        <v>56272587</v>
      </c>
      <c r="D12" s="87">
        <v>4381</v>
      </c>
      <c r="E12" s="4">
        <f>(D12/C12)*100000</f>
        <v>7.7853182758418411</v>
      </c>
      <c r="F12" s="4">
        <f>LN(E12)</f>
        <v>2.052239687666944</v>
      </c>
      <c r="G12" s="94"/>
      <c r="H12" s="40"/>
      <c r="I12" s="40"/>
      <c r="J12" s="40"/>
      <c r="K12" s="89"/>
      <c r="L12" s="87">
        <v>28899002</v>
      </c>
      <c r="M12" s="87">
        <v>2769</v>
      </c>
      <c r="N12" s="4">
        <f>(M12/L12)*100000</f>
        <v>9.5816457606390699</v>
      </c>
      <c r="O12" s="4">
        <f>LN(N12)</f>
        <v>2.2598493685267753</v>
      </c>
      <c r="P12" s="89"/>
      <c r="Q12" s="40"/>
      <c r="R12" s="40"/>
      <c r="S12" s="40"/>
      <c r="T12" s="89"/>
      <c r="U12" s="87">
        <v>27373585</v>
      </c>
      <c r="V12" s="87">
        <v>1612</v>
      </c>
      <c r="W12" s="4">
        <f>(V12/U12)*100000</f>
        <v>5.8888888685935727</v>
      </c>
      <c r="X12" s="4">
        <f>LN(W12)</f>
        <v>1.7730673327695281</v>
      </c>
      <c r="Y12" s="89"/>
      <c r="Z12" s="40"/>
      <c r="AA12" s="40"/>
      <c r="AB12" s="40"/>
      <c r="AC12" s="89"/>
      <c r="AE12" s="36" t="s">
        <v>110</v>
      </c>
      <c r="AF12" s="36">
        <v>0.77649999999999997</v>
      </c>
      <c r="AG12" s="36"/>
      <c r="AH12" s="36"/>
      <c r="AI12" s="36" t="s">
        <v>110</v>
      </c>
      <c r="AJ12" s="36">
        <v>0.97370000000000001</v>
      </c>
      <c r="AK12" s="36"/>
      <c r="AL12" s="36"/>
      <c r="AM12" s="36" t="s">
        <v>110</v>
      </c>
      <c r="AN12" s="36">
        <v>0.74780000000000002</v>
      </c>
      <c r="AO12" s="36"/>
      <c r="AP12" s="36"/>
      <c r="AQ12" s="36" t="s">
        <v>110</v>
      </c>
      <c r="AR12" s="36">
        <v>0.95089999999999997</v>
      </c>
      <c r="AS12" s="36"/>
      <c r="AT12" s="36"/>
      <c r="AU12" s="36" t="s">
        <v>110</v>
      </c>
      <c r="AV12" s="36">
        <v>0.86770000000000003</v>
      </c>
      <c r="AW12" s="36"/>
      <c r="AX12" s="36"/>
      <c r="AY12" s="36" t="s">
        <v>110</v>
      </c>
      <c r="AZ12" s="36">
        <v>0.64219999999999999</v>
      </c>
      <c r="BA12" s="36"/>
      <c r="BB12" s="36"/>
      <c r="BC12" s="36" t="s">
        <v>110</v>
      </c>
      <c r="BD12" s="36">
        <v>0.98340000000000005</v>
      </c>
      <c r="BE12" s="36"/>
      <c r="BF12" s="36"/>
      <c r="BG12" s="36" t="s">
        <v>110</v>
      </c>
      <c r="BH12" s="36">
        <v>0.77259999999999995</v>
      </c>
      <c r="BI12" s="36"/>
      <c r="BJ12" s="36"/>
      <c r="BK12" s="36" t="s">
        <v>110</v>
      </c>
      <c r="BL12" s="36">
        <v>0.95350000000000001</v>
      </c>
      <c r="BM12" s="36"/>
      <c r="BN12" s="36"/>
      <c r="BO12" s="36" t="s">
        <v>110</v>
      </c>
      <c r="BP12" s="36">
        <v>0.87960000000000005</v>
      </c>
      <c r="BQ12" s="36"/>
      <c r="BR12" s="36"/>
      <c r="BS12" s="36" t="s">
        <v>110</v>
      </c>
      <c r="BT12" s="36">
        <v>0.94910000000000005</v>
      </c>
      <c r="BU12" s="36"/>
      <c r="BV12" s="36"/>
      <c r="BW12" s="36" t="s">
        <v>110</v>
      </c>
      <c r="BX12" s="36">
        <v>0.94350000000000001</v>
      </c>
      <c r="BY12" s="36"/>
      <c r="BZ12" s="36"/>
      <c r="CA12" s="36" t="s">
        <v>110</v>
      </c>
      <c r="CB12" s="36">
        <v>0.60599999999999998</v>
      </c>
      <c r="CC12" s="36"/>
      <c r="CD12" s="36"/>
      <c r="CE12" s="36" t="s">
        <v>110</v>
      </c>
      <c r="CF12" s="36">
        <v>0.91</v>
      </c>
      <c r="CG12" s="36"/>
      <c r="CH12" s="36"/>
      <c r="CI12" s="36" t="s">
        <v>110</v>
      </c>
      <c r="CJ12" s="36">
        <v>0.80489999999999995</v>
      </c>
      <c r="CK12" s="36"/>
      <c r="CL12" s="36"/>
    </row>
    <row r="13" spans="1:90" ht="15" thickBot="1" x14ac:dyDescent="0.35">
      <c r="A13" s="90"/>
      <c r="B13" s="87">
        <v>2020</v>
      </c>
      <c r="C13" s="87">
        <v>56524887</v>
      </c>
      <c r="D13" s="87">
        <v>4721</v>
      </c>
      <c r="E13" s="4">
        <f>(D13/C13)*100000</f>
        <v>8.3520733088772037</v>
      </c>
      <c r="F13" s="4">
        <f>LN(E13)</f>
        <v>2.1225098085056415</v>
      </c>
      <c r="G13" s="94"/>
      <c r="H13" s="40"/>
      <c r="I13" s="40"/>
      <c r="J13" s="40"/>
      <c r="K13" s="89"/>
      <c r="L13" s="87">
        <v>29036785</v>
      </c>
      <c r="M13" s="87">
        <v>2979</v>
      </c>
      <c r="N13" s="4">
        <f>(M13/L13)*100000</f>
        <v>10.259400274513862</v>
      </c>
      <c r="O13" s="4">
        <f>LN(N13)</f>
        <v>2.3281943852577665</v>
      </c>
      <c r="P13" s="89"/>
      <c r="Q13" s="40"/>
      <c r="R13" s="40"/>
      <c r="S13" s="40"/>
      <c r="T13" s="89"/>
      <c r="U13" s="87">
        <v>27488102</v>
      </c>
      <c r="V13" s="87">
        <v>1742</v>
      </c>
      <c r="W13" s="4">
        <f>(V13/U13)*100000</f>
        <v>6.3372873107062837</v>
      </c>
      <c r="X13" s="4">
        <f>LN(W13)</f>
        <v>1.8464508079133142</v>
      </c>
      <c r="Y13" s="89"/>
      <c r="Z13" s="40"/>
      <c r="AA13" s="40"/>
      <c r="AB13" s="40"/>
      <c r="AC13" s="89"/>
      <c r="AE13" s="36" t="s">
        <v>109</v>
      </c>
      <c r="AF13" s="36">
        <v>0.72060000000000002</v>
      </c>
      <c r="AG13" s="36"/>
      <c r="AH13" s="36"/>
      <c r="AI13" s="36" t="s">
        <v>109</v>
      </c>
      <c r="AJ13" s="36">
        <v>0.96719999999999995</v>
      </c>
      <c r="AK13" s="36"/>
      <c r="AL13" s="36"/>
      <c r="AM13" s="36" t="s">
        <v>109</v>
      </c>
      <c r="AN13" s="36">
        <v>0.68469999999999998</v>
      </c>
      <c r="AO13" s="36"/>
      <c r="AP13" s="36"/>
      <c r="AQ13" s="36" t="s">
        <v>109</v>
      </c>
      <c r="AR13" s="36">
        <v>0.93869999999999998</v>
      </c>
      <c r="AS13" s="36"/>
      <c r="AT13" s="36"/>
      <c r="AU13" s="36" t="s">
        <v>109</v>
      </c>
      <c r="AV13" s="36">
        <v>0.8347</v>
      </c>
      <c r="AW13" s="36"/>
      <c r="AX13" s="36"/>
      <c r="AY13" s="36" t="s">
        <v>109</v>
      </c>
      <c r="AZ13" s="36">
        <v>0.55279999999999996</v>
      </c>
      <c r="BA13" s="36"/>
      <c r="BB13" s="36"/>
      <c r="BC13" s="36" t="s">
        <v>109</v>
      </c>
      <c r="BD13" s="36">
        <v>0.97919999999999996</v>
      </c>
      <c r="BE13" s="36"/>
      <c r="BF13" s="36"/>
      <c r="BG13" s="36" t="s">
        <v>109</v>
      </c>
      <c r="BH13" s="36">
        <v>0.7157</v>
      </c>
      <c r="BI13" s="36"/>
      <c r="BJ13" s="36"/>
      <c r="BK13" s="36" t="s">
        <v>109</v>
      </c>
      <c r="BL13" s="36">
        <v>0.94189999999999996</v>
      </c>
      <c r="BM13" s="36"/>
      <c r="BN13" s="36"/>
      <c r="BO13" s="36" t="s">
        <v>109</v>
      </c>
      <c r="BP13" s="36">
        <v>0.84940000000000004</v>
      </c>
      <c r="BQ13" s="36"/>
      <c r="BR13" s="36"/>
      <c r="BS13" s="36" t="s">
        <v>109</v>
      </c>
      <c r="BT13" s="36">
        <v>0.93640000000000001</v>
      </c>
      <c r="BU13" s="36"/>
      <c r="BV13" s="36"/>
      <c r="BW13" s="36" t="s">
        <v>109</v>
      </c>
      <c r="BX13" s="36">
        <v>0.92930000000000001</v>
      </c>
      <c r="BY13" s="36"/>
      <c r="BZ13" s="36"/>
      <c r="CA13" s="36" t="s">
        <v>109</v>
      </c>
      <c r="CB13" s="36">
        <v>0.50749999999999995</v>
      </c>
      <c r="CC13" s="36"/>
      <c r="CD13" s="36"/>
      <c r="CE13" s="36" t="s">
        <v>109</v>
      </c>
      <c r="CF13" s="36">
        <v>0.88749999999999996</v>
      </c>
      <c r="CG13" s="36"/>
      <c r="CH13" s="36"/>
      <c r="CI13" s="36" t="s">
        <v>109</v>
      </c>
      <c r="CJ13" s="36">
        <v>0.75619999999999998</v>
      </c>
      <c r="CK13" s="36"/>
      <c r="CL13" s="36"/>
    </row>
    <row r="14" spans="1:90" ht="15" thickBot="1" x14ac:dyDescent="0.35">
      <c r="A14" s="88"/>
      <c r="B14" s="87">
        <v>2021</v>
      </c>
      <c r="C14" s="87">
        <v>56713897</v>
      </c>
      <c r="D14" s="87">
        <v>5219</v>
      </c>
      <c r="E14" s="4">
        <f>(D14/C14)*100000</f>
        <v>9.202330074408394</v>
      </c>
      <c r="F14" s="4">
        <f>LN(E14)</f>
        <v>2.2194567209452605</v>
      </c>
      <c r="G14" s="93"/>
      <c r="H14" s="40"/>
      <c r="I14" s="40"/>
      <c r="J14" s="40"/>
      <c r="K14" s="86"/>
      <c r="L14" s="87">
        <v>29146409</v>
      </c>
      <c r="M14" s="87">
        <v>3392</v>
      </c>
      <c r="N14" s="4">
        <f>(M14/L14)*100000</f>
        <v>11.637797301204412</v>
      </c>
      <c r="O14" s="4">
        <f>LN(N14)</f>
        <v>2.4542581891043174</v>
      </c>
      <c r="P14" s="86"/>
      <c r="Q14" s="40"/>
      <c r="R14" s="40"/>
      <c r="S14" s="40"/>
      <c r="T14" s="86"/>
      <c r="U14" s="87">
        <v>27567488</v>
      </c>
      <c r="V14" s="87">
        <v>1827</v>
      </c>
      <c r="W14" s="4">
        <f>(V14/U14)*100000</f>
        <v>6.6273720695915417</v>
      </c>
      <c r="X14" s="4">
        <f>LN(W14)</f>
        <v>1.8912083560285438</v>
      </c>
      <c r="Y14" s="86"/>
      <c r="Z14" s="40"/>
      <c r="AA14" s="40"/>
      <c r="AB14" s="40"/>
      <c r="AC14" s="86"/>
      <c r="AE14" s="36" t="s">
        <v>108</v>
      </c>
      <c r="AF14" s="36">
        <v>0.88119999999999998</v>
      </c>
      <c r="AG14" s="36"/>
      <c r="AH14" s="36"/>
      <c r="AI14" s="36" t="s">
        <v>108</v>
      </c>
      <c r="AJ14" s="36">
        <v>0.98680000000000001</v>
      </c>
      <c r="AK14" s="36"/>
      <c r="AL14" s="36"/>
      <c r="AM14" s="36" t="s">
        <v>108</v>
      </c>
      <c r="AN14" s="36">
        <v>0.86480000000000001</v>
      </c>
      <c r="AO14" s="36"/>
      <c r="AP14" s="36"/>
      <c r="AQ14" s="36" t="s">
        <v>108</v>
      </c>
      <c r="AR14" s="36">
        <v>0.97519999999999996</v>
      </c>
      <c r="AS14" s="36"/>
      <c r="AT14" s="36"/>
      <c r="AU14" s="36" t="s">
        <v>108</v>
      </c>
      <c r="AV14" s="36">
        <v>0.93149999999999999</v>
      </c>
      <c r="AW14" s="36"/>
      <c r="AX14" s="36"/>
      <c r="AY14" s="36" t="s">
        <v>108</v>
      </c>
      <c r="AZ14" s="36">
        <v>0.8014</v>
      </c>
      <c r="BA14" s="36"/>
      <c r="BB14" s="36"/>
      <c r="BC14" s="36" t="s">
        <v>108</v>
      </c>
      <c r="BD14" s="36">
        <v>0.99170000000000003</v>
      </c>
      <c r="BE14" s="36"/>
      <c r="BF14" s="36"/>
      <c r="BG14" s="36" t="s">
        <v>108</v>
      </c>
      <c r="BH14" s="36">
        <v>0.879</v>
      </c>
      <c r="BI14" s="36"/>
      <c r="BJ14" s="36"/>
      <c r="BK14" s="36" t="s">
        <v>108</v>
      </c>
      <c r="BL14" s="36">
        <v>0.97650000000000003</v>
      </c>
      <c r="BM14" s="36"/>
      <c r="BN14" s="36"/>
      <c r="BO14" s="36" t="s">
        <v>108</v>
      </c>
      <c r="BP14" s="36">
        <v>0.93779999999999997</v>
      </c>
      <c r="BQ14" s="36"/>
      <c r="BR14" s="36"/>
      <c r="BS14" s="36" t="s">
        <v>108</v>
      </c>
      <c r="BT14" s="36">
        <v>0.97419999999999995</v>
      </c>
      <c r="BU14" s="36"/>
      <c r="BV14" s="36"/>
      <c r="BW14" s="36" t="s">
        <v>108</v>
      </c>
      <c r="BX14" s="36">
        <v>0.97130000000000005</v>
      </c>
      <c r="BY14" s="36"/>
      <c r="BZ14" s="36"/>
      <c r="CA14" s="36" t="s">
        <v>108</v>
      </c>
      <c r="CB14" s="36">
        <v>0.77849999999999997</v>
      </c>
      <c r="CC14" s="36"/>
      <c r="CD14" s="36"/>
      <c r="CE14" s="36" t="s">
        <v>108</v>
      </c>
      <c r="CF14" s="36">
        <v>0.95389999999999997</v>
      </c>
      <c r="CG14" s="36"/>
      <c r="CH14" s="36"/>
      <c r="CI14" s="36" t="s">
        <v>108</v>
      </c>
      <c r="CJ14" s="36">
        <v>0.8972</v>
      </c>
      <c r="CK14" s="36"/>
      <c r="CL14" s="36"/>
    </row>
    <row r="15" spans="1:90" ht="15" thickBot="1" x14ac:dyDescent="0.35">
      <c r="A15" s="85" t="s">
        <v>9</v>
      </c>
      <c r="B15" s="78">
        <v>2016</v>
      </c>
      <c r="C15" s="78">
        <v>15608920</v>
      </c>
      <c r="D15" s="78">
        <v>1079</v>
      </c>
      <c r="E15" s="4">
        <f>(D15/C15)*100000</f>
        <v>6.9127140122442814</v>
      </c>
      <c r="F15" s="4">
        <f>LN(E15)</f>
        <v>1.9333623265492013</v>
      </c>
      <c r="G15" s="84">
        <v>6.7400000000000002E-2</v>
      </c>
      <c r="H15" s="40">
        <f>(EXP(G15) -1) * 100</f>
        <v>6.9723281920915259</v>
      </c>
      <c r="I15" s="40">
        <f>(EXP(0.013) -1) * 100</f>
        <v>1.3084867359809182</v>
      </c>
      <c r="J15" s="40">
        <f>(EXP(0.122) -1) * 100</f>
        <v>12.975410178031876</v>
      </c>
      <c r="K15" s="84">
        <v>2.6200000000000001E-2</v>
      </c>
      <c r="L15" s="78">
        <v>7878556</v>
      </c>
      <c r="M15" s="78">
        <v>645</v>
      </c>
      <c r="N15" s="4">
        <f>(M15/L15)*100000</f>
        <v>8.1867794047538673</v>
      </c>
      <c r="O15" s="4">
        <f>LN(N15)</f>
        <v>2.1025205854550038</v>
      </c>
      <c r="P15" s="84">
        <v>6.2600000000000003E-2</v>
      </c>
      <c r="Q15" s="40">
        <f>(EXP(P15) -1) * 100</f>
        <v>6.4600913686400974</v>
      </c>
      <c r="R15" s="40">
        <f>(EXP(0.015) -1) * 100</f>
        <v>1.511306461571893</v>
      </c>
      <c r="S15" s="40">
        <f>(EXP(0.11) -1) * 100</f>
        <v>11.627807045887128</v>
      </c>
      <c r="T15" s="84">
        <v>2.1100000000000001E-2</v>
      </c>
      <c r="U15" s="78">
        <v>7730364</v>
      </c>
      <c r="V15" s="78">
        <v>434</v>
      </c>
      <c r="W15" s="4">
        <f>(V15/U15)*100000</f>
        <v>5.6142246341828148</v>
      </c>
      <c r="X15" s="4">
        <f>LN(W15)</f>
        <v>1.7253034903530799</v>
      </c>
      <c r="Y15" s="84">
        <v>7.1400000000000005E-2</v>
      </c>
      <c r="Z15" s="40">
        <f>(EXP(Y15) -1) * 100</f>
        <v>7.4010744256655547</v>
      </c>
      <c r="AA15" s="40">
        <f>(EXP(-0.009) -1) * 100</f>
        <v>-0.89596212271163544</v>
      </c>
      <c r="AB15" s="40">
        <f>(EXP(0.151) -1) * 100</f>
        <v>16.299665808182027</v>
      </c>
      <c r="AC15" s="84">
        <v>6.8099999999999994E-2</v>
      </c>
      <c r="AE15" s="36" t="s">
        <v>90</v>
      </c>
      <c r="AF15" s="36">
        <v>0.90329999999999999</v>
      </c>
      <c r="AG15" s="36" t="s">
        <v>332</v>
      </c>
      <c r="AH15" s="36" t="s">
        <v>82</v>
      </c>
      <c r="AI15" s="36" t="s">
        <v>90</v>
      </c>
      <c r="AJ15" s="36">
        <v>1.6487000000000001</v>
      </c>
      <c r="AK15" s="36" t="s">
        <v>331</v>
      </c>
      <c r="AL15" s="36" t="s">
        <v>82</v>
      </c>
      <c r="AM15" s="36" t="s">
        <v>90</v>
      </c>
      <c r="AN15" s="36">
        <v>1.9039999999999999</v>
      </c>
      <c r="AO15" s="36" t="s">
        <v>330</v>
      </c>
      <c r="AP15" s="36" t="s">
        <v>82</v>
      </c>
      <c r="AQ15" s="36" t="s">
        <v>90</v>
      </c>
      <c r="AR15" s="36">
        <v>2.3919999999999999</v>
      </c>
      <c r="AS15" s="36" t="s">
        <v>329</v>
      </c>
      <c r="AT15" s="36" t="s">
        <v>82</v>
      </c>
      <c r="AU15" s="36" t="s">
        <v>90</v>
      </c>
      <c r="AV15" s="36">
        <v>2.516</v>
      </c>
      <c r="AW15" s="36" t="s">
        <v>328</v>
      </c>
      <c r="AX15" s="36" t="s">
        <v>82</v>
      </c>
      <c r="AY15" s="36" t="s">
        <v>90</v>
      </c>
      <c r="AZ15" s="36">
        <v>1.0887</v>
      </c>
      <c r="BA15" s="36" t="s">
        <v>327</v>
      </c>
      <c r="BB15" s="36" t="s">
        <v>311</v>
      </c>
      <c r="BC15" s="36" t="s">
        <v>90</v>
      </c>
      <c r="BD15" s="36">
        <v>1.8567</v>
      </c>
      <c r="BE15" s="36" t="s">
        <v>326</v>
      </c>
      <c r="BF15" s="36" t="s">
        <v>82</v>
      </c>
      <c r="BG15" s="36" t="s">
        <v>90</v>
      </c>
      <c r="BH15" s="36">
        <v>2.0893000000000002</v>
      </c>
      <c r="BI15" s="36" t="s">
        <v>325</v>
      </c>
      <c r="BJ15" s="36" t="s">
        <v>82</v>
      </c>
      <c r="BK15" s="36" t="s">
        <v>90</v>
      </c>
      <c r="BL15" s="36">
        <v>2.6267</v>
      </c>
      <c r="BM15" s="36" t="s">
        <v>324</v>
      </c>
      <c r="BN15" s="36" t="s">
        <v>82</v>
      </c>
      <c r="BO15" s="36" t="s">
        <v>90</v>
      </c>
      <c r="BP15" s="36">
        <v>2.758</v>
      </c>
      <c r="BQ15" s="36" t="s">
        <v>323</v>
      </c>
      <c r="BR15" s="36" t="s">
        <v>82</v>
      </c>
      <c r="BS15" s="36" t="s">
        <v>90</v>
      </c>
      <c r="BT15" s="36">
        <v>0.6613</v>
      </c>
      <c r="BU15" s="36" t="s">
        <v>322</v>
      </c>
      <c r="BV15" s="36" t="s">
        <v>82</v>
      </c>
      <c r="BW15" s="36" t="s">
        <v>90</v>
      </c>
      <c r="BX15" s="36">
        <v>1.3727</v>
      </c>
      <c r="BY15" s="36" t="s">
        <v>321</v>
      </c>
      <c r="BZ15" s="36" t="s">
        <v>82</v>
      </c>
      <c r="CA15" s="36" t="s">
        <v>90</v>
      </c>
      <c r="CB15" s="36">
        <v>1.6767000000000001</v>
      </c>
      <c r="CC15" s="36" t="s">
        <v>320</v>
      </c>
      <c r="CD15" s="36" t="s">
        <v>82</v>
      </c>
      <c r="CE15" s="36" t="s">
        <v>90</v>
      </c>
      <c r="CF15" s="36">
        <v>2.0579999999999998</v>
      </c>
      <c r="CG15" s="36" t="s">
        <v>319</v>
      </c>
      <c r="CH15" s="36" t="s">
        <v>82</v>
      </c>
      <c r="CI15" s="36" t="s">
        <v>90</v>
      </c>
      <c r="CJ15" s="36">
        <v>2.1926999999999999</v>
      </c>
      <c r="CK15" s="36" t="s">
        <v>318</v>
      </c>
      <c r="CL15" s="36" t="s">
        <v>82</v>
      </c>
    </row>
    <row r="16" spans="1:90" ht="15" thickBot="1" x14ac:dyDescent="0.35">
      <c r="A16" s="83"/>
      <c r="B16" s="80">
        <v>2017</v>
      </c>
      <c r="C16" s="78">
        <v>15804681</v>
      </c>
      <c r="D16" s="78">
        <v>1249</v>
      </c>
      <c r="E16" s="4">
        <f>(D16/C16)*100000</f>
        <v>7.9027219847082018</v>
      </c>
      <c r="F16" s="4">
        <f>LN(E16)</f>
        <v>2.0672072551538787</v>
      </c>
      <c r="G16" s="82"/>
      <c r="H16" s="40"/>
      <c r="I16" s="40"/>
      <c r="J16" s="40"/>
      <c r="K16" s="82"/>
      <c r="L16" s="78">
        <v>7979816</v>
      </c>
      <c r="M16" s="78">
        <v>737</v>
      </c>
      <c r="N16" s="4">
        <f>(M16/L16)*100000</f>
        <v>9.2358019282650137</v>
      </c>
      <c r="O16" s="4">
        <f>LN(N16)</f>
        <v>2.2230874456435155</v>
      </c>
      <c r="P16" s="82"/>
      <c r="Q16" s="40"/>
      <c r="R16" s="40"/>
      <c r="S16" s="40"/>
      <c r="T16" s="82"/>
      <c r="U16" s="78">
        <v>7824865</v>
      </c>
      <c r="V16" s="78">
        <v>512</v>
      </c>
      <c r="W16" s="4">
        <f>(V16/U16)*100000</f>
        <v>6.5432438770509131</v>
      </c>
      <c r="X16" s="4">
        <f>LN(W16)</f>
        <v>1.8784330481642355</v>
      </c>
      <c r="Y16" s="82"/>
      <c r="Z16" s="40"/>
      <c r="AA16" s="40"/>
      <c r="AB16" s="40"/>
      <c r="AC16" s="82"/>
      <c r="AE16" s="36" t="s">
        <v>72</v>
      </c>
      <c r="AF16" s="36">
        <v>8.2900000000000001E-2</v>
      </c>
      <c r="AG16" s="36" t="s">
        <v>317</v>
      </c>
      <c r="AH16" s="36" t="s">
        <v>316</v>
      </c>
      <c r="AI16" s="36" t="s">
        <v>72</v>
      </c>
      <c r="AJ16" s="36">
        <v>9.5100000000000004E-2</v>
      </c>
      <c r="AK16" s="36" t="s">
        <v>315</v>
      </c>
      <c r="AL16" s="36" t="s">
        <v>82</v>
      </c>
      <c r="AM16" s="36" t="s">
        <v>72</v>
      </c>
      <c r="AN16" s="36">
        <v>6.7400000000000002E-2</v>
      </c>
      <c r="AO16" s="36" t="s">
        <v>314</v>
      </c>
      <c r="AP16" s="36" t="s">
        <v>313</v>
      </c>
      <c r="AQ16" s="36" t="s">
        <v>72</v>
      </c>
      <c r="AR16" s="36">
        <v>4.8000000000000001E-2</v>
      </c>
      <c r="AS16" s="36" t="s">
        <v>312</v>
      </c>
      <c r="AT16" s="36" t="s">
        <v>311</v>
      </c>
      <c r="AU16" s="36" t="s">
        <v>72</v>
      </c>
      <c r="AV16" s="36">
        <v>5.11E-2</v>
      </c>
      <c r="AW16" s="36" t="s">
        <v>310</v>
      </c>
      <c r="AX16" s="36" t="s">
        <v>309</v>
      </c>
      <c r="AY16" s="36" t="s">
        <v>72</v>
      </c>
      <c r="AZ16" s="36">
        <v>8.5099999999999995E-2</v>
      </c>
      <c r="BA16" s="36" t="s">
        <v>308</v>
      </c>
      <c r="BB16" s="36" t="s">
        <v>307</v>
      </c>
      <c r="BC16" s="36" t="s">
        <v>72</v>
      </c>
      <c r="BD16" s="36">
        <v>9.7100000000000006E-2</v>
      </c>
      <c r="BE16" s="36" t="s">
        <v>306</v>
      </c>
      <c r="BF16" s="36" t="s">
        <v>82</v>
      </c>
      <c r="BG16" s="36" t="s">
        <v>72</v>
      </c>
      <c r="BH16" s="36">
        <v>6.2600000000000003E-2</v>
      </c>
      <c r="BI16" s="36" t="s">
        <v>305</v>
      </c>
      <c r="BJ16" s="36" t="s">
        <v>304</v>
      </c>
      <c r="BK16" s="36" t="s">
        <v>72</v>
      </c>
      <c r="BL16" s="36">
        <v>0.05</v>
      </c>
      <c r="BM16" s="36" t="s">
        <v>303</v>
      </c>
      <c r="BN16" s="36" t="s">
        <v>302</v>
      </c>
      <c r="BO16" s="36" t="s">
        <v>72</v>
      </c>
      <c r="BP16" s="36">
        <v>5.1999999999999998E-2</v>
      </c>
      <c r="BQ16" s="36" t="s">
        <v>301</v>
      </c>
      <c r="BR16" s="36" t="s">
        <v>300</v>
      </c>
      <c r="BS16" s="36" t="s">
        <v>72</v>
      </c>
      <c r="BT16" s="36">
        <v>8.3400000000000002E-2</v>
      </c>
      <c r="BU16" s="36" t="s">
        <v>299</v>
      </c>
      <c r="BV16" s="36" t="s">
        <v>298</v>
      </c>
      <c r="BW16" s="36" t="s">
        <v>72</v>
      </c>
      <c r="BX16" s="36">
        <v>9.11E-2</v>
      </c>
      <c r="BY16" s="36" t="s">
        <v>297</v>
      </c>
      <c r="BZ16" s="36" t="s">
        <v>129</v>
      </c>
      <c r="CA16" s="36" t="s">
        <v>72</v>
      </c>
      <c r="CB16" s="36">
        <v>7.1400000000000005E-2</v>
      </c>
      <c r="CC16" s="36" t="s">
        <v>296</v>
      </c>
      <c r="CD16" s="36" t="s">
        <v>295</v>
      </c>
      <c r="CE16" s="36" t="s">
        <v>72</v>
      </c>
      <c r="CF16" s="36">
        <v>4.6300000000000001E-2</v>
      </c>
      <c r="CG16" s="36" t="s">
        <v>294</v>
      </c>
      <c r="CH16" s="36" t="s">
        <v>293</v>
      </c>
      <c r="CI16" s="36" t="s">
        <v>72</v>
      </c>
      <c r="CJ16" s="36">
        <v>4.6899999999999997E-2</v>
      </c>
      <c r="CK16" s="36" t="s">
        <v>292</v>
      </c>
      <c r="CL16" s="36" t="s">
        <v>291</v>
      </c>
    </row>
    <row r="17" spans="1:90" ht="15" thickBot="1" x14ac:dyDescent="0.35">
      <c r="A17" s="83"/>
      <c r="B17" s="80">
        <v>2018</v>
      </c>
      <c r="C17" s="78">
        <v>16000668</v>
      </c>
      <c r="D17" s="78">
        <v>1253</v>
      </c>
      <c r="E17" s="4">
        <f>(D17/C17)*100000</f>
        <v>7.8309230589622887</v>
      </c>
      <c r="F17" s="4">
        <f>LN(E17)</f>
        <v>2.0580803905337484</v>
      </c>
      <c r="G17" s="82"/>
      <c r="H17" s="40"/>
      <c r="I17" s="40"/>
      <c r="J17" s="40"/>
      <c r="K17" s="82"/>
      <c r="L17" s="78">
        <v>8081160</v>
      </c>
      <c r="M17" s="78">
        <v>799</v>
      </c>
      <c r="N17" s="4">
        <f>(M17/L17)*100000</f>
        <v>9.8871944126833284</v>
      </c>
      <c r="O17" s="4">
        <f>LN(N17)</f>
        <v>2.2912404261871653</v>
      </c>
      <c r="P17" s="82"/>
      <c r="Q17" s="40"/>
      <c r="R17" s="40"/>
      <c r="S17" s="40"/>
      <c r="T17" s="82"/>
      <c r="U17" s="78">
        <v>7919508</v>
      </c>
      <c r="V17" s="78">
        <v>454</v>
      </c>
      <c r="W17" s="4">
        <f>(V17/U17)*100000</f>
        <v>5.7326793533133626</v>
      </c>
      <c r="X17" s="4">
        <f>LN(W17)</f>
        <v>1.7461830223626915</v>
      </c>
      <c r="Y17" s="82"/>
      <c r="Z17" s="40"/>
      <c r="AA17" s="40"/>
      <c r="AB17" s="40"/>
      <c r="AC17" s="82"/>
      <c r="AE17" s="36" t="s">
        <v>55</v>
      </c>
      <c r="AF17" s="36" t="s">
        <v>290</v>
      </c>
      <c r="AG17" s="36"/>
      <c r="AH17" s="36"/>
      <c r="AI17" s="36" t="s">
        <v>55</v>
      </c>
      <c r="AJ17" s="36" t="s">
        <v>289</v>
      </c>
      <c r="AK17" s="36"/>
      <c r="AL17" s="36"/>
      <c r="AM17" s="36" t="s">
        <v>55</v>
      </c>
      <c r="AN17" s="36" t="s">
        <v>288</v>
      </c>
      <c r="AO17" s="36"/>
      <c r="AP17" s="36"/>
      <c r="AQ17" s="36" t="s">
        <v>55</v>
      </c>
      <c r="AR17" s="36" t="s">
        <v>287</v>
      </c>
      <c r="AS17" s="36"/>
      <c r="AT17" s="36"/>
      <c r="AU17" s="36" t="s">
        <v>55</v>
      </c>
      <c r="AV17" s="36" t="s">
        <v>286</v>
      </c>
      <c r="AW17" s="36"/>
      <c r="AX17" s="36"/>
      <c r="AY17" s="36" t="s">
        <v>55</v>
      </c>
      <c r="AZ17" s="36" t="s">
        <v>285</v>
      </c>
      <c r="BA17" s="36"/>
      <c r="BB17" s="36"/>
      <c r="BC17" s="36" t="s">
        <v>55</v>
      </c>
      <c r="BD17" s="36" t="s">
        <v>284</v>
      </c>
      <c r="BE17" s="36"/>
      <c r="BF17" s="36"/>
      <c r="BG17" s="36" t="s">
        <v>55</v>
      </c>
      <c r="BH17" s="36" t="s">
        <v>283</v>
      </c>
      <c r="BI17" s="36"/>
      <c r="BJ17" s="36"/>
      <c r="BK17" s="36" t="s">
        <v>55</v>
      </c>
      <c r="BL17" s="36" t="s">
        <v>282</v>
      </c>
      <c r="BM17" s="36"/>
      <c r="BN17" s="36"/>
      <c r="BO17" s="36" t="s">
        <v>55</v>
      </c>
      <c r="BP17" s="36" t="s">
        <v>281</v>
      </c>
      <c r="BQ17" s="36"/>
      <c r="BR17" s="36"/>
      <c r="BS17" s="36" t="s">
        <v>55</v>
      </c>
      <c r="BT17" s="36" t="s">
        <v>280</v>
      </c>
      <c r="BU17" s="36"/>
      <c r="BV17" s="36"/>
      <c r="BW17" s="36" t="s">
        <v>55</v>
      </c>
      <c r="BX17" s="36" t="s">
        <v>279</v>
      </c>
      <c r="BY17" s="36"/>
      <c r="BZ17" s="36"/>
      <c r="CA17" s="36" t="s">
        <v>55</v>
      </c>
      <c r="CB17" s="36" t="s">
        <v>278</v>
      </c>
      <c r="CC17" s="36"/>
      <c r="CD17" s="36"/>
      <c r="CE17" s="36" t="s">
        <v>55</v>
      </c>
      <c r="CF17" s="36" t="s">
        <v>277</v>
      </c>
      <c r="CG17" s="36"/>
      <c r="CH17" s="36"/>
      <c r="CI17" s="36" t="s">
        <v>55</v>
      </c>
      <c r="CJ17" s="36" t="s">
        <v>276</v>
      </c>
      <c r="CK17" s="36"/>
      <c r="CL17" s="36"/>
    </row>
    <row r="18" spans="1:90" ht="15" thickBot="1" x14ac:dyDescent="0.35">
      <c r="A18" s="83"/>
      <c r="B18" s="80">
        <v>2019</v>
      </c>
      <c r="C18" s="78">
        <v>16203468</v>
      </c>
      <c r="D18" s="78">
        <v>1521</v>
      </c>
      <c r="E18" s="4">
        <f>(D18/C18)*100000</f>
        <v>9.3868794013725942</v>
      </c>
      <c r="F18" s="4">
        <f>LN(E18)</f>
        <v>2.2393129058634194</v>
      </c>
      <c r="G18" s="82"/>
      <c r="H18" s="40"/>
      <c r="I18" s="40"/>
      <c r="J18" s="40"/>
      <c r="K18" s="82"/>
      <c r="L18" s="78">
        <v>8186155</v>
      </c>
      <c r="M18" s="78">
        <v>908</v>
      </c>
      <c r="N18" s="4">
        <f>(M18/L18)*100000</f>
        <v>11.091898455379846</v>
      </c>
      <c r="O18" s="4">
        <f>LN(N18)</f>
        <v>2.4062149729496221</v>
      </c>
      <c r="P18" s="82"/>
      <c r="Q18" s="40"/>
      <c r="R18" s="40"/>
      <c r="S18" s="40"/>
      <c r="T18" s="82"/>
      <c r="U18" s="78">
        <v>8017313</v>
      </c>
      <c r="V18" s="78">
        <v>611</v>
      </c>
      <c r="W18" s="4">
        <f>(V18/U18)*100000</f>
        <v>7.6210071878196599</v>
      </c>
      <c r="X18" s="4">
        <f>LN(W18)</f>
        <v>2.0309085378431813</v>
      </c>
      <c r="Y18" s="82"/>
      <c r="Z18" s="40"/>
      <c r="AA18" s="40"/>
      <c r="AB18" s="40"/>
      <c r="AC18" s="82"/>
      <c r="AE18" s="36" t="s">
        <v>39</v>
      </c>
      <c r="AF18" s="36" t="s">
        <v>275</v>
      </c>
      <c r="AG18" s="36"/>
      <c r="AH18" s="36"/>
      <c r="AI18" s="36" t="s">
        <v>39</v>
      </c>
      <c r="AJ18" s="36" t="s">
        <v>274</v>
      </c>
      <c r="AK18" s="36"/>
      <c r="AL18" s="36"/>
      <c r="AM18" s="36" t="s">
        <v>39</v>
      </c>
      <c r="AN18" s="36" t="s">
        <v>273</v>
      </c>
      <c r="AO18" s="36"/>
      <c r="AP18" s="36"/>
      <c r="AQ18" s="36" t="s">
        <v>39</v>
      </c>
      <c r="AR18" s="36" t="s">
        <v>272</v>
      </c>
      <c r="AS18" s="36"/>
      <c r="AT18" s="36"/>
      <c r="AU18" s="36" t="s">
        <v>39</v>
      </c>
      <c r="AV18" s="36" t="s">
        <v>271</v>
      </c>
      <c r="AW18" s="36"/>
      <c r="AX18" s="36"/>
      <c r="AY18" s="36" t="s">
        <v>39</v>
      </c>
      <c r="AZ18" s="36" t="s">
        <v>270</v>
      </c>
      <c r="BA18" s="36"/>
      <c r="BB18" s="36"/>
      <c r="BC18" s="36" t="s">
        <v>39</v>
      </c>
      <c r="BD18" s="36" t="s">
        <v>269</v>
      </c>
      <c r="BE18" s="36"/>
      <c r="BF18" s="36"/>
      <c r="BG18" s="36" t="s">
        <v>39</v>
      </c>
      <c r="BH18" s="36" t="s">
        <v>268</v>
      </c>
      <c r="BI18" s="36"/>
      <c r="BJ18" s="36"/>
      <c r="BK18" s="36" t="s">
        <v>39</v>
      </c>
      <c r="BL18" s="36" t="s">
        <v>267</v>
      </c>
      <c r="BM18" s="36"/>
      <c r="BN18" s="36"/>
      <c r="BO18" s="36" t="s">
        <v>39</v>
      </c>
      <c r="BP18" s="36" t="s">
        <v>266</v>
      </c>
      <c r="BQ18" s="36"/>
      <c r="BR18" s="36"/>
      <c r="BS18" s="36" t="s">
        <v>39</v>
      </c>
      <c r="BT18" s="36" t="s">
        <v>265</v>
      </c>
      <c r="BU18" s="36"/>
      <c r="BV18" s="36"/>
      <c r="BW18" s="36" t="s">
        <v>39</v>
      </c>
      <c r="BX18" s="36" t="s">
        <v>264</v>
      </c>
      <c r="BY18" s="36"/>
      <c r="BZ18" s="36"/>
      <c r="CA18" s="36" t="s">
        <v>39</v>
      </c>
      <c r="CB18" s="36" t="s">
        <v>263</v>
      </c>
      <c r="CC18" s="36"/>
      <c r="CD18" s="36"/>
      <c r="CE18" s="36" t="s">
        <v>39</v>
      </c>
      <c r="CF18" s="36" t="s">
        <v>262</v>
      </c>
      <c r="CG18" s="36"/>
      <c r="CH18" s="36"/>
      <c r="CI18" s="36" t="s">
        <v>39</v>
      </c>
      <c r="CJ18" s="36" t="s">
        <v>261</v>
      </c>
      <c r="CK18" s="36"/>
      <c r="CL18" s="36"/>
    </row>
    <row r="19" spans="1:90" ht="15" thickBot="1" x14ac:dyDescent="0.35">
      <c r="A19" s="83"/>
      <c r="B19" s="80">
        <v>2020</v>
      </c>
      <c r="C19" s="78">
        <v>16400560</v>
      </c>
      <c r="D19" s="78">
        <v>1680</v>
      </c>
      <c r="E19" s="4">
        <f>(D19/C19)*100000</f>
        <v>10.243552659177491</v>
      </c>
      <c r="F19" s="4">
        <f>LN(E19)</f>
        <v>2.3266484988146159</v>
      </c>
      <c r="G19" s="82"/>
      <c r="H19" s="40"/>
      <c r="I19" s="40"/>
      <c r="J19" s="40"/>
      <c r="K19" s="82"/>
      <c r="L19" s="78">
        <v>8289748</v>
      </c>
      <c r="M19" s="78">
        <v>968</v>
      </c>
      <c r="N19" s="4">
        <f>(M19/L19)*100000</f>
        <v>11.67707389898945</v>
      </c>
      <c r="O19" s="4">
        <f>LN(N19)</f>
        <v>2.4576274236673221</v>
      </c>
      <c r="P19" s="82"/>
      <c r="Q19" s="40"/>
      <c r="R19" s="40"/>
      <c r="S19" s="40"/>
      <c r="T19" s="82"/>
      <c r="U19" s="78">
        <v>8110812</v>
      </c>
      <c r="V19" s="78">
        <v>712</v>
      </c>
      <c r="W19" s="4">
        <f>(V19/U19)*100000</f>
        <v>8.7784059105302905</v>
      </c>
      <c r="X19" s="4">
        <f>LN(W19)</f>
        <v>2.17229483199805</v>
      </c>
      <c r="Y19" s="82"/>
      <c r="Z19" s="40"/>
      <c r="AA19" s="40"/>
      <c r="AB19" s="40"/>
      <c r="AC19" s="82"/>
      <c r="AE19" s="36" t="s">
        <v>37</v>
      </c>
      <c r="AF19" s="36" t="s">
        <v>36</v>
      </c>
      <c r="AG19" s="36"/>
      <c r="AH19" s="36"/>
      <c r="AI19" s="36" t="s">
        <v>37</v>
      </c>
      <c r="AJ19" s="36" t="s">
        <v>36</v>
      </c>
      <c r="AK19" s="36"/>
      <c r="AL19" s="36"/>
      <c r="AM19" s="36" t="s">
        <v>37</v>
      </c>
      <c r="AN19" s="36" t="s">
        <v>36</v>
      </c>
      <c r="AO19" s="36"/>
      <c r="AP19" s="36"/>
      <c r="AQ19" s="36" t="s">
        <v>37</v>
      </c>
      <c r="AR19" s="36" t="s">
        <v>36</v>
      </c>
      <c r="AS19" s="36"/>
      <c r="AT19" s="36"/>
      <c r="AU19" s="36" t="s">
        <v>37</v>
      </c>
      <c r="AV19" s="36" t="s">
        <v>36</v>
      </c>
      <c r="AW19" s="36"/>
      <c r="AX19" s="36"/>
      <c r="AY19" s="36" t="s">
        <v>37</v>
      </c>
      <c r="AZ19" s="36" t="s">
        <v>36</v>
      </c>
      <c r="BA19" s="36"/>
      <c r="BB19" s="36"/>
      <c r="BC19" s="36" t="s">
        <v>37</v>
      </c>
      <c r="BD19" s="36" t="s">
        <v>36</v>
      </c>
      <c r="BE19" s="36"/>
      <c r="BF19" s="36"/>
      <c r="BG19" s="36" t="s">
        <v>37</v>
      </c>
      <c r="BH19" s="36" t="s">
        <v>36</v>
      </c>
      <c r="BI19" s="36"/>
      <c r="BJ19" s="36"/>
      <c r="BK19" s="36" t="s">
        <v>37</v>
      </c>
      <c r="BL19" s="36" t="s">
        <v>36</v>
      </c>
      <c r="BM19" s="36"/>
      <c r="BN19" s="36"/>
      <c r="BO19" s="36" t="s">
        <v>37</v>
      </c>
      <c r="BP19" s="36" t="s">
        <v>36</v>
      </c>
      <c r="BQ19" s="36"/>
      <c r="BR19" s="36"/>
      <c r="BS19" s="36" t="s">
        <v>37</v>
      </c>
      <c r="BT19" s="36" t="s">
        <v>36</v>
      </c>
      <c r="BU19" s="36"/>
      <c r="BV19" s="36"/>
      <c r="BW19" s="36" t="s">
        <v>37</v>
      </c>
      <c r="BX19" s="36" t="s">
        <v>36</v>
      </c>
      <c r="BY19" s="36"/>
      <c r="BZ19" s="36"/>
      <c r="CA19" s="36" t="s">
        <v>37</v>
      </c>
      <c r="CB19" s="36" t="s">
        <v>36</v>
      </c>
      <c r="CC19" s="36"/>
      <c r="CD19" s="36"/>
      <c r="CE19" s="36" t="s">
        <v>37</v>
      </c>
      <c r="CF19" s="36" t="s">
        <v>36</v>
      </c>
      <c r="CG19" s="36"/>
      <c r="CH19" s="36"/>
      <c r="CI19" s="36" t="s">
        <v>37</v>
      </c>
      <c r="CJ19" s="36" t="s">
        <v>36</v>
      </c>
      <c r="CK19" s="36"/>
      <c r="CL19" s="36"/>
    </row>
    <row r="20" spans="1:90" ht="15" thickBot="1" x14ac:dyDescent="0.35">
      <c r="A20" s="81"/>
      <c r="B20" s="80">
        <v>2021</v>
      </c>
      <c r="C20" s="78">
        <v>16570591</v>
      </c>
      <c r="D20" s="78">
        <v>1506</v>
      </c>
      <c r="E20" s="4">
        <f>(D20/C20)*100000</f>
        <v>9.0883903899384144</v>
      </c>
      <c r="F20" s="4">
        <f>LN(E20)</f>
        <v>2.2069978176955356</v>
      </c>
      <c r="G20" s="77"/>
      <c r="H20" s="40"/>
      <c r="I20" s="40"/>
      <c r="J20" s="40"/>
      <c r="K20" s="77"/>
      <c r="L20" s="78">
        <v>8381714</v>
      </c>
      <c r="M20" s="78">
        <v>901</v>
      </c>
      <c r="N20" s="4">
        <f>(M20/L20)*100000</f>
        <v>10.74959131270764</v>
      </c>
      <c r="O20" s="4">
        <f>LN(N20)</f>
        <v>2.3748677364284463</v>
      </c>
      <c r="P20" s="77"/>
      <c r="Q20" s="40"/>
      <c r="R20" s="40"/>
      <c r="S20" s="40"/>
      <c r="T20" s="77"/>
      <c r="U20" s="78">
        <v>8188877</v>
      </c>
      <c r="V20" s="78">
        <v>605</v>
      </c>
      <c r="W20" s="4">
        <f>(V20/U20)*100000</f>
        <v>7.3880704277277589</v>
      </c>
      <c r="X20" s="4">
        <f>LN(W20)</f>
        <v>1.9998665950105285</v>
      </c>
      <c r="Y20" s="77"/>
      <c r="Z20" s="40"/>
      <c r="AA20" s="40"/>
      <c r="AB20" s="40"/>
      <c r="AC20" s="77"/>
    </row>
    <row r="21" spans="1:90" ht="15" thickBot="1" x14ac:dyDescent="0.35">
      <c r="A21" s="92" t="s">
        <v>5</v>
      </c>
      <c r="B21" s="87">
        <v>2016</v>
      </c>
      <c r="C21" s="87">
        <v>86032875</v>
      </c>
      <c r="D21" s="87">
        <v>9961</v>
      </c>
      <c r="E21" s="4">
        <f>(D21/C21)*100000</f>
        <v>11.578132196558583</v>
      </c>
      <c r="F21" s="4">
        <f>LN(E21)</f>
        <v>2.4491181635013355</v>
      </c>
      <c r="G21" s="91">
        <v>4.8000000000000001E-2</v>
      </c>
      <c r="H21" s="40">
        <f>(EXP(G21) -1) * 100</f>
        <v>4.9170655324470625</v>
      </c>
      <c r="I21" s="40">
        <f>(EXP(0.033) -1) * 100</f>
        <v>3.3550539241305577</v>
      </c>
      <c r="J21" s="40">
        <f>(EXP(0.063) -1) * 100</f>
        <v>6.5026839231305367</v>
      </c>
      <c r="K21" s="91">
        <v>8.9999999999999998E-4</v>
      </c>
      <c r="L21" s="87">
        <v>44281075</v>
      </c>
      <c r="M21" s="87">
        <v>6464</v>
      </c>
      <c r="N21" s="4">
        <f>(M21/L21)*100000</f>
        <v>14.597658254683292</v>
      </c>
      <c r="O21" s="4">
        <f>LN(N21)</f>
        <v>2.6808611223350325</v>
      </c>
      <c r="P21" s="91">
        <v>0.05</v>
      </c>
      <c r="Q21" s="40">
        <f>(EXP(P21) -1) * 100</f>
        <v>5.1271096376024117</v>
      </c>
      <c r="R21" s="40">
        <f>(EXP(0.035) -1) * 100</f>
        <v>3.5619708799623284</v>
      </c>
      <c r="S21" s="40">
        <f>(EXP(0.065) -1) * 100</f>
        <v>6.7159024384192634</v>
      </c>
      <c r="T21" s="91">
        <v>8.0000000000000004E-4</v>
      </c>
      <c r="U21" s="87">
        <v>41751800</v>
      </c>
      <c r="V21" s="87">
        <v>3497</v>
      </c>
      <c r="W21" s="4">
        <f>(V21/U21)*100000</f>
        <v>8.3756867967369075</v>
      </c>
      <c r="X21" s="4">
        <f>LN(W21)</f>
        <v>2.1253330799293826</v>
      </c>
      <c r="Y21" s="91">
        <v>4.6300000000000001E-2</v>
      </c>
      <c r="Z21" s="40">
        <f>(EXP(Y21) -1) * 100</f>
        <v>4.7388580403284974</v>
      </c>
      <c r="AA21" s="40">
        <f>(EXP(0.026) -1) * 100</f>
        <v>2.6340948473442038</v>
      </c>
      <c r="AB21" s="40">
        <f>(EXP(0.066) -1) * 100</f>
        <v>6.8226717165993378</v>
      </c>
      <c r="AC21" s="91">
        <v>3.0999999999999999E-3</v>
      </c>
    </row>
    <row r="22" spans="1:90" ht="15" thickBot="1" x14ac:dyDescent="0.35">
      <c r="A22" s="90"/>
      <c r="B22" s="87">
        <v>2017</v>
      </c>
      <c r="C22" s="87">
        <v>86509018</v>
      </c>
      <c r="D22" s="87">
        <v>10390</v>
      </c>
      <c r="E22" s="4">
        <f>(D22/C22)*100000</f>
        <v>12.010308566905707</v>
      </c>
      <c r="F22" s="4">
        <f>LN(E22)</f>
        <v>2.4857653282602392</v>
      </c>
      <c r="G22" s="89"/>
      <c r="H22" s="40"/>
      <c r="I22" s="40"/>
      <c r="J22" s="40"/>
      <c r="K22" s="89"/>
      <c r="L22" s="87">
        <v>44531757</v>
      </c>
      <c r="M22" s="87">
        <v>6877</v>
      </c>
      <c r="N22" s="4">
        <f>(M22/L22)*100000</f>
        <v>15.442911897682366</v>
      </c>
      <c r="O22" s="4">
        <f>LN(N22)</f>
        <v>2.7371501212244196</v>
      </c>
      <c r="P22" s="89"/>
      <c r="Q22" s="40"/>
      <c r="R22" s="40"/>
      <c r="S22" s="40"/>
      <c r="T22" s="89"/>
      <c r="U22" s="87">
        <v>41977261</v>
      </c>
      <c r="V22" s="87">
        <v>3510</v>
      </c>
      <c r="W22" s="4">
        <f>(V22/U22)*100000</f>
        <v>8.3616699050469254</v>
      </c>
      <c r="X22" s="4">
        <f>LN(W22)</f>
        <v>2.1236581565568806</v>
      </c>
      <c r="Y22" s="89"/>
      <c r="Z22" s="40"/>
      <c r="AA22" s="40"/>
      <c r="AB22" s="40"/>
      <c r="AC22" s="89"/>
    </row>
    <row r="23" spans="1:90" ht="15" thickBot="1" x14ac:dyDescent="0.35">
      <c r="A23" s="90"/>
      <c r="B23" s="87">
        <v>2018</v>
      </c>
      <c r="C23" s="87">
        <v>86949467</v>
      </c>
      <c r="D23" s="87">
        <v>10634</v>
      </c>
      <c r="E23" s="4">
        <f>(D23/C23)*100000</f>
        <v>12.230092221266867</v>
      </c>
      <c r="F23" s="4">
        <f>LN(E23)</f>
        <v>2.5038994902484815</v>
      </c>
      <c r="G23" s="89"/>
      <c r="H23" s="40"/>
      <c r="I23" s="40"/>
      <c r="J23" s="40"/>
      <c r="K23" s="89"/>
      <c r="L23" s="87">
        <v>44765465</v>
      </c>
      <c r="M23" s="87">
        <v>6939</v>
      </c>
      <c r="N23" s="4">
        <f>(M23/L23)*100000</f>
        <v>15.500788386761982</v>
      </c>
      <c r="O23" s="4">
        <f>LN(N23)</f>
        <v>2.740890886293752</v>
      </c>
      <c r="P23" s="89"/>
      <c r="Q23" s="40"/>
      <c r="R23" s="40"/>
      <c r="S23" s="40"/>
      <c r="T23" s="89"/>
      <c r="U23" s="87">
        <v>42184002</v>
      </c>
      <c r="V23" s="87">
        <v>3695</v>
      </c>
      <c r="W23" s="4">
        <f>(V23/U23)*100000</f>
        <v>8.7592447961670405</v>
      </c>
      <c r="X23" s="4">
        <f>LN(W23)</f>
        <v>2.170109690748748</v>
      </c>
      <c r="Y23" s="89"/>
      <c r="Z23" s="40"/>
      <c r="AA23" s="40"/>
      <c r="AB23" s="40"/>
      <c r="AC23" s="89"/>
    </row>
    <row r="24" spans="1:90" ht="15" thickBot="1" x14ac:dyDescent="0.35">
      <c r="A24" s="90"/>
      <c r="B24" s="87">
        <v>2019</v>
      </c>
      <c r="C24" s="87">
        <v>87386818</v>
      </c>
      <c r="D24" s="87">
        <v>11943</v>
      </c>
      <c r="E24" s="4">
        <f>(D24/C24)*100000</f>
        <v>13.666821007259928</v>
      </c>
      <c r="F24" s="4">
        <f>LN(E24)</f>
        <v>2.6149710711865715</v>
      </c>
      <c r="G24" s="89"/>
      <c r="H24" s="40"/>
      <c r="I24" s="40"/>
      <c r="J24" s="40"/>
      <c r="K24" s="89"/>
      <c r="L24" s="87">
        <v>44998141</v>
      </c>
      <c r="M24" s="87">
        <v>7801</v>
      </c>
      <c r="N24" s="4">
        <f>(M24/L24)*100000</f>
        <v>17.336271736203503</v>
      </c>
      <c r="O24" s="4">
        <f>LN(N24)</f>
        <v>2.8528009387883864</v>
      </c>
      <c r="P24" s="89"/>
      <c r="Q24" s="40"/>
      <c r="R24" s="40"/>
      <c r="S24" s="40"/>
      <c r="T24" s="89"/>
      <c r="U24" s="87">
        <v>42388677</v>
      </c>
      <c r="V24" s="87">
        <v>4142</v>
      </c>
      <c r="W24" s="4">
        <f>(V24/U24)*100000</f>
        <v>9.771477416008997</v>
      </c>
      <c r="X24" s="4">
        <f>LN(W24)</f>
        <v>2.279467674275069</v>
      </c>
      <c r="Y24" s="89"/>
      <c r="Z24" s="40"/>
      <c r="AA24" s="40"/>
      <c r="AB24" s="40"/>
      <c r="AC24" s="89"/>
    </row>
    <row r="25" spans="1:90" ht="15" thickBot="1" x14ac:dyDescent="0.35">
      <c r="A25" s="90"/>
      <c r="B25" s="87">
        <v>2020</v>
      </c>
      <c r="C25" s="87">
        <v>87778972</v>
      </c>
      <c r="D25" s="87">
        <v>12139</v>
      </c>
      <c r="E25" s="4">
        <f>(D25/C25)*100000</f>
        <v>13.829052361196483</v>
      </c>
      <c r="F25" s="4">
        <f>LN(E25)</f>
        <v>2.626771622808167</v>
      </c>
      <c r="G25" s="89"/>
      <c r="H25" s="40"/>
      <c r="I25" s="40"/>
      <c r="J25" s="40"/>
      <c r="K25" s="89"/>
      <c r="L25" s="87">
        <v>45212137</v>
      </c>
      <c r="M25" s="87">
        <v>7935</v>
      </c>
      <c r="N25" s="4">
        <f>(M25/L25)*100000</f>
        <v>17.55059708856496</v>
      </c>
      <c r="O25" s="4">
        <f>LN(N25)</f>
        <v>2.8650879714735886</v>
      </c>
      <c r="P25" s="89"/>
      <c r="Q25" s="40"/>
      <c r="R25" s="40"/>
      <c r="S25" s="40"/>
      <c r="T25" s="89"/>
      <c r="U25" s="87">
        <v>42566835</v>
      </c>
      <c r="V25" s="87">
        <v>4204</v>
      </c>
      <c r="W25" s="4">
        <f>(V25/U25)*100000</f>
        <v>9.8762334573383246</v>
      </c>
      <c r="X25" s="4">
        <f>LN(W25)</f>
        <v>2.2901312100591822</v>
      </c>
      <c r="Y25" s="89"/>
      <c r="Z25" s="40"/>
      <c r="AA25" s="40"/>
      <c r="AB25" s="40"/>
      <c r="AC25" s="89"/>
    </row>
    <row r="26" spans="1:90" ht="15" thickBot="1" x14ac:dyDescent="0.35">
      <c r="A26" s="88"/>
      <c r="B26" s="87">
        <v>2021</v>
      </c>
      <c r="C26" s="87">
        <v>88016928</v>
      </c>
      <c r="D26" s="87">
        <v>12891</v>
      </c>
      <c r="E26" s="4">
        <f>(D26/C26)*100000</f>
        <v>14.646046269644858</v>
      </c>
      <c r="F26" s="4">
        <f>LN(E26)</f>
        <v>2.6841704198340008</v>
      </c>
      <c r="G26" s="86"/>
      <c r="H26" s="40"/>
      <c r="I26" s="40"/>
      <c r="J26" s="40"/>
      <c r="K26" s="86"/>
      <c r="L26" s="87">
        <v>45355329</v>
      </c>
      <c r="M26" s="87">
        <v>8520</v>
      </c>
      <c r="N26" s="4">
        <f>(M26/L26)*100000</f>
        <v>18.785003191135488</v>
      </c>
      <c r="O26" s="4">
        <f>LN(N26)</f>
        <v>2.9330588489027072</v>
      </c>
      <c r="P26" s="86"/>
      <c r="Q26" s="40"/>
      <c r="R26" s="40"/>
      <c r="S26" s="40"/>
      <c r="T26" s="86"/>
      <c r="U26" s="87">
        <v>42661599</v>
      </c>
      <c r="V26" s="87">
        <v>4371</v>
      </c>
      <c r="W26" s="4">
        <f>(V26/U26)*100000</f>
        <v>10.245748172730234</v>
      </c>
      <c r="X26" s="4">
        <f>LN(W26)</f>
        <v>2.3268628071093849</v>
      </c>
      <c r="Y26" s="86"/>
      <c r="Z26" s="40"/>
      <c r="AA26" s="40"/>
      <c r="AB26" s="40"/>
      <c r="AC26" s="86"/>
    </row>
    <row r="27" spans="1:90" ht="15" thickBot="1" x14ac:dyDescent="0.35">
      <c r="A27" s="85" t="s">
        <v>1</v>
      </c>
      <c r="B27" s="78">
        <v>2016</v>
      </c>
      <c r="C27" s="78">
        <v>29316913</v>
      </c>
      <c r="D27" s="78">
        <v>3760</v>
      </c>
      <c r="E27" s="4">
        <f>(D27/C27)*100000</f>
        <v>12.825361251370499</v>
      </c>
      <c r="F27" s="4">
        <f>LN(E27)</f>
        <v>2.5514245584083168</v>
      </c>
      <c r="G27" s="84">
        <v>5.11E-2</v>
      </c>
      <c r="H27" s="40">
        <f>(EXP(G27) -1) * 100</f>
        <v>5.2428130834322184</v>
      </c>
      <c r="I27" s="40">
        <f>(EXP(0.023) -1) * 100</f>
        <v>2.326653954721758</v>
      </c>
      <c r="J27" s="40">
        <f>(EXP(0.079) -1) * 100</f>
        <v>8.2204322070314806</v>
      </c>
      <c r="K27" s="84">
        <v>6.8999999999999999E-3</v>
      </c>
      <c r="L27" s="78">
        <v>14950252</v>
      </c>
      <c r="M27" s="78">
        <v>2428</v>
      </c>
      <c r="N27" s="4">
        <f>(M27/L27)*100000</f>
        <v>16.240528922188066</v>
      </c>
      <c r="O27" s="4">
        <f>LN(N27)</f>
        <v>2.7875099033034205</v>
      </c>
      <c r="P27" s="84">
        <v>5.1999999999999998E-2</v>
      </c>
      <c r="Q27" s="40">
        <f>(EXP(P27) -1) * 100</f>
        <v>5.3375742513364743</v>
      </c>
      <c r="R27" s="40">
        <f>(EXP(0.025) -1) * 100</f>
        <v>2.5315120524428858</v>
      </c>
      <c r="S27" s="40">
        <f>(EXP(0.079) -1) * 100</f>
        <v>8.2204322070314806</v>
      </c>
      <c r="T27" s="84">
        <v>5.7000000000000002E-3</v>
      </c>
      <c r="U27" s="78">
        <v>14366661</v>
      </c>
      <c r="V27" s="78">
        <v>1332</v>
      </c>
      <c r="W27" s="4">
        <f>(V27/U27)*100000</f>
        <v>9.2714653738958557</v>
      </c>
      <c r="X27" s="4">
        <f>LN(W27)</f>
        <v>2.2269414440963287</v>
      </c>
      <c r="Y27" s="84">
        <v>4.6899999999999997E-2</v>
      </c>
      <c r="Z27" s="40">
        <f>(EXP(Y27) -1) * 100</f>
        <v>4.8017202119182922</v>
      </c>
      <c r="AA27" s="40">
        <f>(EXP(0.015) -1) * 100</f>
        <v>1.511306461571893</v>
      </c>
      <c r="AB27" s="40">
        <f>(EXP(0.079) -1) * 100</f>
        <v>8.2204322070314806</v>
      </c>
      <c r="AC27" s="84">
        <v>1.5699999999999999E-2</v>
      </c>
    </row>
    <row r="28" spans="1:90" ht="15" thickBot="1" x14ac:dyDescent="0.35">
      <c r="A28" s="83"/>
      <c r="B28" s="80">
        <v>2017</v>
      </c>
      <c r="C28" s="78">
        <v>29561726</v>
      </c>
      <c r="D28" s="78">
        <v>4009</v>
      </c>
      <c r="E28" s="4">
        <f>(D28/C28)*100000</f>
        <v>13.561454429284677</v>
      </c>
      <c r="F28" s="4">
        <f>LN(E28)</f>
        <v>2.6072315355572413</v>
      </c>
      <c r="G28" s="82"/>
      <c r="H28" s="40"/>
      <c r="I28" s="40"/>
      <c r="J28" s="40"/>
      <c r="K28" s="82"/>
      <c r="L28" s="78">
        <v>15077648</v>
      </c>
      <c r="M28" s="78">
        <v>2624</v>
      </c>
      <c r="N28" s="4">
        <f>(M28/L28)*100000</f>
        <v>17.403244856226912</v>
      </c>
      <c r="O28" s="4">
        <f>LN(N28)</f>
        <v>2.8566566748241851</v>
      </c>
      <c r="P28" s="82"/>
      <c r="Q28" s="40"/>
      <c r="R28" s="40"/>
      <c r="S28" s="40"/>
      <c r="T28" s="82"/>
      <c r="U28" s="78">
        <v>14484078</v>
      </c>
      <c r="V28" s="78">
        <v>1385</v>
      </c>
      <c r="W28" s="4">
        <f>(V28/U28)*100000</f>
        <v>9.5622241194779534</v>
      </c>
      <c r="X28" s="4">
        <f>LN(W28)</f>
        <v>2.2578203484858062</v>
      </c>
      <c r="Y28" s="82"/>
      <c r="Z28" s="40"/>
      <c r="AA28" s="40"/>
      <c r="AB28" s="40"/>
      <c r="AC28" s="82"/>
    </row>
    <row r="29" spans="1:90" ht="15" thickBot="1" x14ac:dyDescent="0.35">
      <c r="A29" s="83"/>
      <c r="B29" s="80">
        <v>2018</v>
      </c>
      <c r="C29" s="78">
        <v>29807638</v>
      </c>
      <c r="D29" s="78">
        <v>4497</v>
      </c>
      <c r="E29" s="4">
        <f>(D29/C29)*100000</f>
        <v>15.08673716448113</v>
      </c>
      <c r="F29" s="4">
        <f>LN(E29)</f>
        <v>2.7138160243819405</v>
      </c>
      <c r="G29" s="82"/>
      <c r="H29" s="40"/>
      <c r="I29" s="40"/>
      <c r="J29" s="40"/>
      <c r="K29" s="82"/>
      <c r="L29" s="78">
        <v>15205673</v>
      </c>
      <c r="M29" s="78">
        <v>2925</v>
      </c>
      <c r="N29" s="4">
        <f>(M29/L29)*100000</f>
        <v>19.236241631659446</v>
      </c>
      <c r="O29" s="4">
        <f>LN(N29)</f>
        <v>2.9567960847661046</v>
      </c>
      <c r="P29" s="82"/>
      <c r="Q29" s="40"/>
      <c r="R29" s="40"/>
      <c r="S29" s="40"/>
      <c r="T29" s="82"/>
      <c r="U29" s="78">
        <v>14601965</v>
      </c>
      <c r="V29" s="78">
        <v>1571</v>
      </c>
      <c r="W29" s="4">
        <f>(V29/U29)*100000</f>
        <v>10.758825952534471</v>
      </c>
      <c r="X29" s="4">
        <f>LN(W29)</f>
        <v>2.3757264365624811</v>
      </c>
      <c r="Y29" s="82"/>
      <c r="Z29" s="40"/>
      <c r="AA29" s="40"/>
      <c r="AB29" s="40"/>
      <c r="AC29" s="82"/>
    </row>
    <row r="30" spans="1:90" ht="15" thickBot="1" x14ac:dyDescent="0.35">
      <c r="A30" s="83"/>
      <c r="B30" s="80">
        <v>2019</v>
      </c>
      <c r="C30" s="78">
        <v>30066296</v>
      </c>
      <c r="D30" s="78">
        <v>4688</v>
      </c>
      <c r="E30" s="4">
        <f>(D30/C30)*100000</f>
        <v>15.592209961612829</v>
      </c>
      <c r="F30" s="4">
        <f>LN(E30)</f>
        <v>2.746771428097972</v>
      </c>
      <c r="G30" s="82"/>
      <c r="H30" s="40"/>
      <c r="I30" s="40"/>
      <c r="J30" s="40"/>
      <c r="K30" s="82"/>
      <c r="L30" s="78">
        <v>15339565</v>
      </c>
      <c r="M30" s="78">
        <v>3029</v>
      </c>
      <c r="N30" s="4">
        <f>(M30/L30)*100000</f>
        <v>19.746322662995986</v>
      </c>
      <c r="O30" s="4">
        <f>LN(N30)</f>
        <v>2.98296727973214</v>
      </c>
      <c r="P30" s="82"/>
      <c r="Q30" s="40"/>
      <c r="R30" s="40"/>
      <c r="S30" s="40"/>
      <c r="T30" s="82"/>
      <c r="U30" s="78">
        <v>14726731</v>
      </c>
      <c r="V30" s="78">
        <v>1659</v>
      </c>
      <c r="W30" s="4">
        <f>(V30/U30)*100000</f>
        <v>11.265229194449196</v>
      </c>
      <c r="X30" s="4">
        <f>LN(W30)</f>
        <v>2.4217209193895486</v>
      </c>
      <c r="Y30" s="82"/>
      <c r="Z30" s="40"/>
      <c r="AA30" s="40"/>
      <c r="AB30" s="40"/>
      <c r="AC30" s="82"/>
    </row>
    <row r="31" spans="1:90" ht="15" thickBot="1" x14ac:dyDescent="0.35">
      <c r="A31" s="83"/>
      <c r="B31" s="80">
        <v>2020</v>
      </c>
      <c r="C31" s="78">
        <v>30323248</v>
      </c>
      <c r="D31" s="78">
        <v>4562</v>
      </c>
      <c r="E31" s="4">
        <f>(D31/C31)*100000</f>
        <v>15.044562508607259</v>
      </c>
      <c r="F31" s="4">
        <f>LN(E31)</f>
        <v>2.7110166308029298</v>
      </c>
      <c r="G31" s="82"/>
      <c r="H31" s="40"/>
      <c r="I31" s="40"/>
      <c r="J31" s="40"/>
      <c r="K31" s="82"/>
      <c r="L31" s="78">
        <v>15473531</v>
      </c>
      <c r="M31" s="78">
        <v>2986</v>
      </c>
      <c r="N31" s="4">
        <f>(M31/L31)*100000</f>
        <v>19.297469982772519</v>
      </c>
      <c r="O31" s="4">
        <f>LN(N31)</f>
        <v>2.959973998342412</v>
      </c>
      <c r="P31" s="82"/>
      <c r="Q31" s="40"/>
      <c r="R31" s="40"/>
      <c r="S31" s="40"/>
      <c r="T31" s="82"/>
      <c r="U31" s="78">
        <v>14849717</v>
      </c>
      <c r="V31" s="78">
        <v>1576</v>
      </c>
      <c r="W31" s="4">
        <f>(V31/U31)*100000</f>
        <v>10.612996867213024</v>
      </c>
      <c r="X31" s="4">
        <f>LN(W31)</f>
        <v>2.362079369595719</v>
      </c>
      <c r="Y31" s="82"/>
      <c r="Z31" s="40"/>
      <c r="AA31" s="40"/>
      <c r="AB31" s="40"/>
      <c r="AC31" s="82"/>
    </row>
    <row r="32" spans="1:90" ht="15" thickBot="1" x14ac:dyDescent="0.35">
      <c r="A32" s="81"/>
      <c r="B32" s="80">
        <v>2021</v>
      </c>
      <c r="C32" s="78">
        <v>30529735</v>
      </c>
      <c r="D32" s="78">
        <v>5212</v>
      </c>
      <c r="E32" s="4">
        <f>(D32/C32)*100000</f>
        <v>17.071880905615462</v>
      </c>
      <c r="F32" s="4">
        <f>LN(E32)</f>
        <v>2.8374327185284733</v>
      </c>
      <c r="G32" s="79"/>
      <c r="H32" s="40"/>
      <c r="I32" s="40"/>
      <c r="J32" s="40"/>
      <c r="K32" s="79"/>
      <c r="L32" s="78">
        <v>15585284</v>
      </c>
      <c r="M32" s="78">
        <v>3409</v>
      </c>
      <c r="N32" s="4">
        <f>(M32/L32)*100000</f>
        <v>21.873197819173523</v>
      </c>
      <c r="O32" s="4">
        <f>LN(N32)</f>
        <v>3.0852620434406037</v>
      </c>
      <c r="P32" s="77"/>
      <c r="Q32" s="40"/>
      <c r="R32" s="40"/>
      <c r="S32" s="40"/>
      <c r="T32" s="77"/>
      <c r="U32" s="78">
        <v>14944451</v>
      </c>
      <c r="V32" s="78">
        <v>1803</v>
      </c>
      <c r="W32" s="4">
        <f>(V32/U32)*100000</f>
        <v>12.064678722557289</v>
      </c>
      <c r="X32" s="4">
        <f>LN(W32)</f>
        <v>2.4902820698419834</v>
      </c>
      <c r="Y32" s="77"/>
      <c r="Z32" s="40"/>
      <c r="AA32" s="40"/>
      <c r="AB32" s="40"/>
      <c r="AC32" s="77"/>
    </row>
    <row r="33" spans="1:90" ht="15" thickBot="1" x14ac:dyDescent="0.35"/>
    <row r="34" spans="1:90" ht="15" thickBot="1" x14ac:dyDescent="0.35">
      <c r="A34" s="76" t="s">
        <v>260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4"/>
    </row>
    <row r="35" spans="1:90" ht="15" thickBot="1" x14ac:dyDescent="0.35">
      <c r="A35" s="76" t="s">
        <v>34</v>
      </c>
      <c r="B35" s="74"/>
      <c r="C35" s="76" t="s">
        <v>259</v>
      </c>
      <c r="D35" s="75"/>
      <c r="E35" s="75"/>
      <c r="F35" s="75"/>
      <c r="G35" s="75"/>
      <c r="H35" s="75"/>
      <c r="I35" s="75"/>
      <c r="J35" s="75"/>
      <c r="K35" s="74"/>
      <c r="L35" s="76" t="s">
        <v>258</v>
      </c>
      <c r="M35" s="75"/>
      <c r="N35" s="75"/>
      <c r="O35" s="75"/>
      <c r="P35" s="75"/>
      <c r="Q35" s="75"/>
      <c r="R35" s="75"/>
      <c r="S35" s="75"/>
      <c r="T35" s="74"/>
      <c r="U35" s="76" t="s">
        <v>257</v>
      </c>
      <c r="V35" s="75"/>
      <c r="W35" s="75"/>
      <c r="X35" s="75"/>
      <c r="Y35" s="75"/>
      <c r="Z35" s="75"/>
      <c r="AA35" s="75"/>
      <c r="AB35" s="75"/>
      <c r="AC35" s="74"/>
      <c r="AE35" s="37" t="s">
        <v>156</v>
      </c>
      <c r="AF35" s="37"/>
      <c r="AG35" s="37"/>
      <c r="AH35" s="37"/>
      <c r="AI35" s="37" t="s">
        <v>155</v>
      </c>
      <c r="AJ35" s="37"/>
      <c r="AK35" s="37"/>
      <c r="AL35" s="37"/>
      <c r="AM35" s="37" t="s">
        <v>154</v>
      </c>
      <c r="AN35" s="37"/>
      <c r="AO35" s="37"/>
      <c r="AP35" s="37"/>
      <c r="AQ35" s="37" t="s">
        <v>256</v>
      </c>
      <c r="AR35" s="37"/>
      <c r="AS35" s="37"/>
      <c r="AT35" s="37"/>
      <c r="AU35" s="37" t="s">
        <v>152</v>
      </c>
      <c r="AV35" s="37"/>
      <c r="AW35" s="37"/>
      <c r="AX35" s="37"/>
      <c r="AY35" s="37" t="s">
        <v>255</v>
      </c>
      <c r="AZ35" s="37"/>
      <c r="BA35" s="37"/>
      <c r="BB35" s="37"/>
      <c r="BC35" s="37" t="s">
        <v>150</v>
      </c>
      <c r="BD35" s="37"/>
      <c r="BE35" s="37"/>
      <c r="BF35" s="37"/>
      <c r="BG35" s="37" t="s">
        <v>149</v>
      </c>
      <c r="BH35" s="37"/>
      <c r="BI35" s="37"/>
      <c r="BJ35" s="37"/>
      <c r="BK35" s="37" t="s">
        <v>148</v>
      </c>
      <c r="BL35" s="37"/>
      <c r="BM35" s="37"/>
      <c r="BN35" s="37"/>
      <c r="BO35" s="37" t="s">
        <v>147</v>
      </c>
      <c r="BP35" s="37"/>
      <c r="BQ35" s="37"/>
      <c r="BR35" s="37"/>
      <c r="BS35" s="37" t="s">
        <v>146</v>
      </c>
      <c r="BT35" s="37"/>
      <c r="BU35" s="37"/>
      <c r="BV35" s="37"/>
      <c r="BW35" s="37" t="s">
        <v>145</v>
      </c>
      <c r="BX35" s="37"/>
      <c r="BY35" s="37"/>
      <c r="BZ35" s="37"/>
      <c r="CA35" s="37" t="s">
        <v>254</v>
      </c>
      <c r="CB35" s="37"/>
      <c r="CC35" s="37"/>
      <c r="CD35" s="37"/>
      <c r="CE35" s="37" t="s">
        <v>253</v>
      </c>
      <c r="CF35" s="37"/>
      <c r="CG35" s="37"/>
      <c r="CH35" s="37"/>
      <c r="CI35" s="37" t="s">
        <v>252</v>
      </c>
      <c r="CJ35" s="37"/>
      <c r="CK35" s="37"/>
      <c r="CL35" s="37"/>
    </row>
    <row r="36" spans="1:90" ht="21" thickBot="1" x14ac:dyDescent="0.35">
      <c r="A36" s="73" t="s">
        <v>30</v>
      </c>
      <c r="B36" s="22" t="s">
        <v>29</v>
      </c>
      <c r="C36" s="22" t="s">
        <v>26</v>
      </c>
      <c r="D36" s="22" t="s">
        <v>25</v>
      </c>
      <c r="E36" s="22" t="s">
        <v>24</v>
      </c>
      <c r="F36" s="22" t="s">
        <v>23</v>
      </c>
      <c r="G36" s="22" t="s">
        <v>22</v>
      </c>
      <c r="H36" s="21" t="s">
        <v>21</v>
      </c>
      <c r="I36" s="20" t="s">
        <v>20</v>
      </c>
      <c r="J36" s="20" t="s">
        <v>19</v>
      </c>
      <c r="K36" s="22" t="s">
        <v>18</v>
      </c>
      <c r="L36" s="22" t="s">
        <v>28</v>
      </c>
      <c r="M36" s="22" t="s">
        <v>27</v>
      </c>
      <c r="N36" s="22" t="s">
        <v>24</v>
      </c>
      <c r="O36" s="22" t="s">
        <v>23</v>
      </c>
      <c r="P36" s="22" t="s">
        <v>22</v>
      </c>
      <c r="Q36" s="21" t="s">
        <v>21</v>
      </c>
      <c r="R36" s="20" t="s">
        <v>20</v>
      </c>
      <c r="S36" s="20" t="s">
        <v>19</v>
      </c>
      <c r="T36" s="22" t="s">
        <v>18</v>
      </c>
      <c r="U36" s="22" t="s">
        <v>26</v>
      </c>
      <c r="V36" s="22" t="s">
        <v>25</v>
      </c>
      <c r="W36" s="22" t="s">
        <v>24</v>
      </c>
      <c r="X36" s="22" t="s">
        <v>23</v>
      </c>
      <c r="Y36" s="22" t="s">
        <v>22</v>
      </c>
      <c r="Z36" s="21" t="s">
        <v>21</v>
      </c>
      <c r="AA36" s="20" t="s">
        <v>20</v>
      </c>
      <c r="AB36" s="20" t="s">
        <v>19</v>
      </c>
      <c r="AC36" s="22" t="s">
        <v>18</v>
      </c>
      <c r="AE36" s="36" t="s">
        <v>141</v>
      </c>
      <c r="AF36" s="36" t="s">
        <v>140</v>
      </c>
      <c r="AG36" s="36" t="s">
        <v>139</v>
      </c>
      <c r="AH36" s="36" t="s">
        <v>138</v>
      </c>
      <c r="AI36" s="36" t="s">
        <v>141</v>
      </c>
      <c r="AJ36" s="36" t="s">
        <v>140</v>
      </c>
      <c r="AK36" s="36" t="s">
        <v>139</v>
      </c>
      <c r="AL36" s="36" t="s">
        <v>138</v>
      </c>
      <c r="AM36" s="36" t="s">
        <v>141</v>
      </c>
      <c r="AN36" s="36" t="s">
        <v>140</v>
      </c>
      <c r="AO36" s="36" t="s">
        <v>139</v>
      </c>
      <c r="AP36" s="36" t="s">
        <v>138</v>
      </c>
      <c r="AQ36" s="36" t="s">
        <v>141</v>
      </c>
      <c r="AR36" s="36" t="s">
        <v>140</v>
      </c>
      <c r="AS36" s="36" t="s">
        <v>139</v>
      </c>
      <c r="AT36" s="36" t="s">
        <v>138</v>
      </c>
      <c r="AU36" s="36" t="s">
        <v>141</v>
      </c>
      <c r="AV36" s="36" t="s">
        <v>140</v>
      </c>
      <c r="AW36" s="36" t="s">
        <v>139</v>
      </c>
      <c r="AX36" s="36" t="s">
        <v>138</v>
      </c>
      <c r="AY36" s="36" t="s">
        <v>141</v>
      </c>
      <c r="AZ36" s="36" t="s">
        <v>140</v>
      </c>
      <c r="BA36" s="36" t="s">
        <v>139</v>
      </c>
      <c r="BB36" s="36" t="s">
        <v>138</v>
      </c>
      <c r="BC36" s="36" t="s">
        <v>141</v>
      </c>
      <c r="BD36" s="36" t="s">
        <v>140</v>
      </c>
      <c r="BE36" s="36" t="s">
        <v>139</v>
      </c>
      <c r="BF36" s="36" t="s">
        <v>138</v>
      </c>
      <c r="BG36" s="36" t="s">
        <v>141</v>
      </c>
      <c r="BH36" s="36" t="s">
        <v>140</v>
      </c>
      <c r="BI36" s="36" t="s">
        <v>139</v>
      </c>
      <c r="BJ36" s="36" t="s">
        <v>138</v>
      </c>
      <c r="BK36" s="36" t="s">
        <v>141</v>
      </c>
      <c r="BL36" s="36" t="s">
        <v>140</v>
      </c>
      <c r="BM36" s="36" t="s">
        <v>139</v>
      </c>
      <c r="BN36" s="36" t="s">
        <v>138</v>
      </c>
      <c r="BO36" s="36" t="s">
        <v>141</v>
      </c>
      <c r="BP36" s="36" t="s">
        <v>140</v>
      </c>
      <c r="BQ36" s="36" t="s">
        <v>139</v>
      </c>
      <c r="BR36" s="36" t="s">
        <v>138</v>
      </c>
      <c r="BS36" s="36" t="s">
        <v>141</v>
      </c>
      <c r="BT36" s="36" t="s">
        <v>140</v>
      </c>
      <c r="BU36" s="36" t="s">
        <v>139</v>
      </c>
      <c r="BV36" s="36" t="s">
        <v>138</v>
      </c>
      <c r="BW36" s="36" t="s">
        <v>141</v>
      </c>
      <c r="BX36" s="36" t="s">
        <v>140</v>
      </c>
      <c r="BY36" s="36" t="s">
        <v>139</v>
      </c>
      <c r="BZ36" s="36" t="s">
        <v>138</v>
      </c>
      <c r="CA36" s="36" t="s">
        <v>141</v>
      </c>
      <c r="CB36" s="36" t="s">
        <v>140</v>
      </c>
      <c r="CC36" s="36" t="s">
        <v>139</v>
      </c>
      <c r="CD36" s="36" t="s">
        <v>138</v>
      </c>
      <c r="CE36" s="36" t="s">
        <v>141</v>
      </c>
      <c r="CF36" s="36" t="s">
        <v>140</v>
      </c>
      <c r="CG36" s="36" t="s">
        <v>139</v>
      </c>
      <c r="CH36" s="36" t="s">
        <v>138</v>
      </c>
      <c r="CI36" s="36" t="s">
        <v>141</v>
      </c>
      <c r="CJ36" s="36" t="s">
        <v>140</v>
      </c>
      <c r="CK36" s="36" t="s">
        <v>139</v>
      </c>
      <c r="CL36" s="36" t="s">
        <v>138</v>
      </c>
    </row>
    <row r="37" spans="1:90" ht="15" thickBot="1" x14ac:dyDescent="0.35">
      <c r="A37" s="51" t="s">
        <v>17</v>
      </c>
      <c r="B37" s="50">
        <v>2016</v>
      </c>
      <c r="C37" s="42">
        <v>411168</v>
      </c>
      <c r="D37" s="42">
        <v>13</v>
      </c>
      <c r="E37" s="29">
        <f>(D37/C37)*100000</f>
        <v>3.1617246478325161</v>
      </c>
      <c r="F37" s="4">
        <f>LN(E37)</f>
        <v>1.1511176533485579</v>
      </c>
      <c r="G37" s="49">
        <v>1.34E-2</v>
      </c>
      <c r="H37" s="3">
        <f>(EXP(G37)-1)*100</f>
        <v>1.3490182364349845</v>
      </c>
      <c r="I37" s="3">
        <f>(EXP(-0.098)-1)*100</f>
        <v>-9.3351096246079059</v>
      </c>
      <c r="J37" s="3">
        <f>(EXP(0.125)-1)*100</f>
        <v>13.314845306682631</v>
      </c>
      <c r="K37" s="48">
        <v>0.75509999999999999</v>
      </c>
      <c r="L37" s="42">
        <v>212033</v>
      </c>
      <c r="M37" s="42">
        <v>65</v>
      </c>
      <c r="N37" s="29">
        <f>(M37/L37)*100000</f>
        <v>30.655605495371002</v>
      </c>
      <c r="O37" s="4">
        <f>LN(N37)</f>
        <v>3.4228155329481771</v>
      </c>
      <c r="P37" s="49">
        <v>3.8899999999999997E-2</v>
      </c>
      <c r="Q37" s="3">
        <f>(EXP(P37)-1)*100</f>
        <v>3.9666511800471982</v>
      </c>
      <c r="R37" s="3">
        <f>(EXP(-0.045)-1)*100</f>
        <v>-4.4002518166900035</v>
      </c>
      <c r="S37" s="3">
        <f>(EXP(0.123)-1)*100</f>
        <v>13.088442094748931</v>
      </c>
      <c r="T37" s="72">
        <v>0.26779999999999998</v>
      </c>
      <c r="U37" s="42">
        <v>100557</v>
      </c>
      <c r="V37" s="42">
        <v>207</v>
      </c>
      <c r="W37" s="29">
        <f>(V37/U37)*100000</f>
        <v>205.8533965810436</v>
      </c>
      <c r="X37" s="4">
        <f>LN(W37)</f>
        <v>5.3271642483520401</v>
      </c>
      <c r="Y37" s="71">
        <v>5.91E-2</v>
      </c>
      <c r="Z37" s="40">
        <f>(EXP(Y37) -1) * 100</f>
        <v>6.0881323568286128</v>
      </c>
      <c r="AA37" s="40">
        <f>(EXP(-0.042) -1) * 100</f>
        <v>-4.1130219427515495</v>
      </c>
      <c r="AB37" s="40">
        <f>(EXP(0.16) -1) * 100</f>
        <v>17.351087099181029</v>
      </c>
      <c r="AC37" s="48">
        <v>0.17860000000000001</v>
      </c>
      <c r="AE37" s="36" t="s">
        <v>137</v>
      </c>
      <c r="AF37" s="36">
        <v>1</v>
      </c>
      <c r="AG37" s="36">
        <v>3.2000000000000002E-3</v>
      </c>
      <c r="AH37" s="36">
        <v>3.2000000000000002E-3</v>
      </c>
      <c r="AI37" s="36" t="s">
        <v>137</v>
      </c>
      <c r="AJ37" s="36">
        <v>1</v>
      </c>
      <c r="AK37" s="36">
        <v>2.64E-2</v>
      </c>
      <c r="AL37" s="36">
        <v>2.64E-2</v>
      </c>
      <c r="AM37" s="36" t="s">
        <v>137</v>
      </c>
      <c r="AN37" s="36">
        <v>1</v>
      </c>
      <c r="AO37" s="36">
        <v>6.1199999999999997E-2</v>
      </c>
      <c r="AP37" s="36">
        <v>6.1199999999999997E-2</v>
      </c>
      <c r="AQ37" s="36" t="s">
        <v>137</v>
      </c>
      <c r="AR37" s="36">
        <v>1</v>
      </c>
      <c r="AS37" s="36">
        <v>2E-3</v>
      </c>
      <c r="AT37" s="36">
        <v>2E-3</v>
      </c>
      <c r="AU37" s="36" t="s">
        <v>137</v>
      </c>
      <c r="AV37" s="36">
        <v>1</v>
      </c>
      <c r="AW37" s="36">
        <v>6.2399999999999997E-2</v>
      </c>
      <c r="AX37" s="36">
        <v>6.2399999999999997E-2</v>
      </c>
      <c r="AY37" s="36" t="s">
        <v>137</v>
      </c>
      <c r="AZ37" s="36">
        <v>1</v>
      </c>
      <c r="BA37" s="36">
        <v>9.5100000000000004E-2</v>
      </c>
      <c r="BB37" s="36">
        <v>9.5100000000000004E-2</v>
      </c>
      <c r="BC37" s="36" t="s">
        <v>137</v>
      </c>
      <c r="BD37" s="36">
        <v>1</v>
      </c>
      <c r="BE37" s="36">
        <v>1.6400000000000001E-2</v>
      </c>
      <c r="BF37" s="36">
        <v>1.6400000000000001E-2</v>
      </c>
      <c r="BG37" s="36" t="s">
        <v>137</v>
      </c>
      <c r="BH37" s="36">
        <v>1</v>
      </c>
      <c r="BI37" s="36">
        <v>1E-4</v>
      </c>
      <c r="BJ37" s="36">
        <v>1E-4</v>
      </c>
      <c r="BK37" s="36" t="s">
        <v>137</v>
      </c>
      <c r="BL37" s="36">
        <v>1</v>
      </c>
      <c r="BM37" s="36">
        <v>1.46E-2</v>
      </c>
      <c r="BN37" s="36">
        <v>1.46E-2</v>
      </c>
      <c r="BO37" s="36" t="s">
        <v>137</v>
      </c>
      <c r="BP37" s="36">
        <v>1</v>
      </c>
      <c r="BQ37" s="36">
        <v>2.5999999999999999E-3</v>
      </c>
      <c r="BR37" s="36">
        <v>2.5999999999999999E-3</v>
      </c>
      <c r="BS37" s="36" t="s">
        <v>137</v>
      </c>
      <c r="BT37" s="36">
        <v>1</v>
      </c>
      <c r="BU37" s="36">
        <v>6.6E-3</v>
      </c>
      <c r="BV37" s="36">
        <v>6.6E-3</v>
      </c>
      <c r="BW37" s="36" t="s">
        <v>137</v>
      </c>
      <c r="BX37" s="36">
        <v>1</v>
      </c>
      <c r="BY37" s="36">
        <v>1.01E-2</v>
      </c>
      <c r="BZ37" s="36">
        <v>1.01E-2</v>
      </c>
      <c r="CA37" s="36" t="s">
        <v>137</v>
      </c>
      <c r="CB37" s="36">
        <v>1</v>
      </c>
      <c r="CC37" s="36">
        <v>6.9999999999999999E-4</v>
      </c>
      <c r="CD37" s="36">
        <v>6.9999999999999999E-4</v>
      </c>
      <c r="CE37" s="36" t="s">
        <v>137</v>
      </c>
      <c r="CF37" s="36">
        <v>1</v>
      </c>
      <c r="CG37" s="36">
        <v>1E-4</v>
      </c>
      <c r="CH37" s="36">
        <v>1E-4</v>
      </c>
      <c r="CI37" s="36" t="s">
        <v>137</v>
      </c>
      <c r="CJ37" s="36">
        <v>1</v>
      </c>
      <c r="CK37" s="36">
        <v>1.46E-2</v>
      </c>
      <c r="CL37" s="36">
        <v>1.46E-2</v>
      </c>
    </row>
    <row r="38" spans="1:90" ht="15" thickBot="1" x14ac:dyDescent="0.35">
      <c r="A38" s="47"/>
      <c r="B38" s="43">
        <v>2017</v>
      </c>
      <c r="C38" s="42">
        <v>432885</v>
      </c>
      <c r="D38" s="42">
        <v>10</v>
      </c>
      <c r="E38" s="29">
        <f>(D38/C38)*100000</f>
        <v>2.3100823544359357</v>
      </c>
      <c r="F38" s="4">
        <f>LN(E38)</f>
        <v>0.8372831751691785</v>
      </c>
      <c r="G38" s="46"/>
      <c r="H38" s="3"/>
      <c r="I38" s="3"/>
      <c r="J38" s="3"/>
      <c r="K38" s="45"/>
      <c r="L38" s="42">
        <v>220921</v>
      </c>
      <c r="M38" s="42">
        <v>57</v>
      </c>
      <c r="N38" s="29">
        <f>(M38/L38)*100000</f>
        <v>25.80107821347903</v>
      </c>
      <c r="O38" s="4">
        <f>LN(N38)</f>
        <v>3.2504162822744607</v>
      </c>
      <c r="P38" s="46"/>
      <c r="Q38" s="3"/>
      <c r="R38" s="3"/>
      <c r="S38" s="3"/>
      <c r="T38" s="70"/>
      <c r="U38" s="42">
        <v>105218</v>
      </c>
      <c r="V38" s="42">
        <v>268</v>
      </c>
      <c r="W38" s="29">
        <f>(V38/U38)*100000</f>
        <v>254.70927027694879</v>
      </c>
      <c r="X38" s="4">
        <f>LN(W38)</f>
        <v>5.5401227781701321</v>
      </c>
      <c r="Y38" s="69"/>
      <c r="Z38" s="40"/>
      <c r="AA38" s="40"/>
      <c r="AB38" s="40"/>
      <c r="AC38" s="45"/>
      <c r="AE38" s="36" t="s">
        <v>136</v>
      </c>
      <c r="AF38" s="36">
        <v>4</v>
      </c>
      <c r="AG38" s="36">
        <v>0.11310000000000001</v>
      </c>
      <c r="AH38" s="36">
        <v>2.8299999999999999E-2</v>
      </c>
      <c r="AI38" s="36" t="s">
        <v>136</v>
      </c>
      <c r="AJ38" s="36">
        <v>4</v>
      </c>
      <c r="AK38" s="36">
        <v>6.3899999999999998E-2</v>
      </c>
      <c r="AL38" s="36">
        <v>1.6E-2</v>
      </c>
      <c r="AM38" s="36" t="s">
        <v>136</v>
      </c>
      <c r="AN38" s="36">
        <v>4</v>
      </c>
      <c r="AO38" s="36">
        <v>9.2299999999999993E-2</v>
      </c>
      <c r="AP38" s="36">
        <v>2.3099999999999999E-2</v>
      </c>
      <c r="AQ38" s="36" t="s">
        <v>136</v>
      </c>
      <c r="AR38" s="36">
        <v>4</v>
      </c>
      <c r="AS38" s="36">
        <v>4.1599999999999998E-2</v>
      </c>
      <c r="AT38" s="36">
        <v>1.04E-2</v>
      </c>
      <c r="AU38" s="36" t="s">
        <v>136</v>
      </c>
      <c r="AV38" s="36">
        <v>4</v>
      </c>
      <c r="AW38" s="36">
        <v>1.29E-2</v>
      </c>
      <c r="AX38" s="36">
        <v>3.2000000000000002E-3</v>
      </c>
      <c r="AY38" s="36" t="s">
        <v>136</v>
      </c>
      <c r="AZ38" s="36">
        <v>4</v>
      </c>
      <c r="BA38" s="36">
        <v>4.1999999999999997E-3</v>
      </c>
      <c r="BB38" s="36">
        <v>1.1000000000000001E-3</v>
      </c>
      <c r="BC38" s="36" t="s">
        <v>136</v>
      </c>
      <c r="BD38" s="36">
        <v>4</v>
      </c>
      <c r="BE38" s="36">
        <v>0.22550000000000001</v>
      </c>
      <c r="BF38" s="36">
        <v>5.6399999999999999E-2</v>
      </c>
      <c r="BG38" s="36" t="s">
        <v>136</v>
      </c>
      <c r="BH38" s="36">
        <v>4</v>
      </c>
      <c r="BI38" s="36">
        <v>1.7500000000000002E-2</v>
      </c>
      <c r="BJ38" s="36">
        <v>4.4000000000000003E-3</v>
      </c>
      <c r="BK38" s="36" t="s">
        <v>136</v>
      </c>
      <c r="BL38" s="36">
        <v>4</v>
      </c>
      <c r="BM38" s="36">
        <v>2.0899999999999998E-2</v>
      </c>
      <c r="BN38" s="36">
        <v>5.1999999999999998E-3</v>
      </c>
      <c r="BO38" s="36" t="s">
        <v>136</v>
      </c>
      <c r="BP38" s="36">
        <v>4</v>
      </c>
      <c r="BQ38" s="36">
        <v>3.5999999999999997E-2</v>
      </c>
      <c r="BR38" s="36">
        <v>8.9999999999999993E-3</v>
      </c>
      <c r="BS38" s="36" t="s">
        <v>136</v>
      </c>
      <c r="BT38" s="36">
        <v>4</v>
      </c>
      <c r="BU38" s="36">
        <v>4.4999999999999997E-3</v>
      </c>
      <c r="BV38" s="36">
        <v>1.1000000000000001E-3</v>
      </c>
      <c r="BW38" s="36" t="s">
        <v>136</v>
      </c>
      <c r="BX38" s="36">
        <v>4</v>
      </c>
      <c r="BY38" s="36">
        <v>2.0999999999999999E-3</v>
      </c>
      <c r="BZ38" s="36">
        <v>5.0000000000000001E-4</v>
      </c>
      <c r="CA38" s="36" t="s">
        <v>136</v>
      </c>
      <c r="CB38" s="36">
        <v>4</v>
      </c>
      <c r="CC38" s="36">
        <v>6.6100000000000006E-2</v>
      </c>
      <c r="CD38" s="36">
        <v>1.6500000000000001E-2</v>
      </c>
      <c r="CE38" s="36" t="s">
        <v>136</v>
      </c>
      <c r="CF38" s="36">
        <v>4</v>
      </c>
      <c r="CG38" s="36">
        <v>7.7999999999999996E-3</v>
      </c>
      <c r="CH38" s="36">
        <v>2E-3</v>
      </c>
      <c r="CI38" s="36" t="s">
        <v>136</v>
      </c>
      <c r="CJ38" s="36">
        <v>4</v>
      </c>
      <c r="CK38" s="36">
        <v>7.3000000000000001E-3</v>
      </c>
      <c r="CL38" s="36">
        <v>1.8E-3</v>
      </c>
    </row>
    <row r="39" spans="1:90" ht="15" thickBot="1" x14ac:dyDescent="0.35">
      <c r="A39" s="47"/>
      <c r="B39" s="43">
        <v>2018</v>
      </c>
      <c r="C39" s="42">
        <v>455317</v>
      </c>
      <c r="D39" s="42">
        <v>10</v>
      </c>
      <c r="E39" s="29">
        <f>(D39/C39)*100000</f>
        <v>2.19627204782602</v>
      </c>
      <c r="F39" s="4">
        <f>LN(E39)</f>
        <v>0.78676139931955846</v>
      </c>
      <c r="G39" s="46"/>
      <c r="H39" s="3"/>
      <c r="I39" s="3"/>
      <c r="J39" s="3"/>
      <c r="K39" s="45"/>
      <c r="L39" s="42">
        <v>230491</v>
      </c>
      <c r="M39" s="42">
        <v>57</v>
      </c>
      <c r="N39" s="29">
        <f>(M39/L39)*100000</f>
        <v>24.729815914721183</v>
      </c>
      <c r="O39" s="4">
        <f>LN(N39)</f>
        <v>3.2080096377013811</v>
      </c>
      <c r="P39" s="46"/>
      <c r="Q39" s="3"/>
      <c r="R39" s="3"/>
      <c r="S39" s="3"/>
      <c r="T39" s="70"/>
      <c r="U39" s="42">
        <v>110222</v>
      </c>
      <c r="V39" s="42">
        <v>208</v>
      </c>
      <c r="W39" s="29">
        <f>(V39/U39)*100000</f>
        <v>188.71005788318121</v>
      </c>
      <c r="X39" s="4">
        <f>LN(W39)</f>
        <v>5.2402117518718203</v>
      </c>
      <c r="Y39" s="69"/>
      <c r="Z39" s="40"/>
      <c r="AA39" s="40"/>
      <c r="AB39" s="40"/>
      <c r="AC39" s="45"/>
      <c r="AE39" s="36" t="s">
        <v>135</v>
      </c>
      <c r="AF39" s="36">
        <v>5</v>
      </c>
      <c r="AG39" s="36">
        <v>0.1163</v>
      </c>
      <c r="AH39" s="36" t="s">
        <v>134</v>
      </c>
      <c r="AI39" s="36" t="s">
        <v>135</v>
      </c>
      <c r="AJ39" s="36">
        <v>5</v>
      </c>
      <c r="AK39" s="36">
        <v>9.0300000000000005E-2</v>
      </c>
      <c r="AL39" s="36" t="s">
        <v>134</v>
      </c>
      <c r="AM39" s="36" t="s">
        <v>135</v>
      </c>
      <c r="AN39" s="36">
        <v>5</v>
      </c>
      <c r="AO39" s="36">
        <v>0.1535</v>
      </c>
      <c r="AP39" s="36" t="s">
        <v>134</v>
      </c>
      <c r="AQ39" s="36" t="s">
        <v>135</v>
      </c>
      <c r="AR39" s="36">
        <v>5</v>
      </c>
      <c r="AS39" s="36">
        <v>4.3499999999999997E-2</v>
      </c>
      <c r="AT39" s="36" t="s">
        <v>134</v>
      </c>
      <c r="AU39" s="36" t="s">
        <v>135</v>
      </c>
      <c r="AV39" s="36">
        <v>5</v>
      </c>
      <c r="AW39" s="36">
        <v>7.5300000000000006E-2</v>
      </c>
      <c r="AX39" s="36" t="s">
        <v>134</v>
      </c>
      <c r="AY39" s="36" t="s">
        <v>135</v>
      </c>
      <c r="AZ39" s="36">
        <v>5</v>
      </c>
      <c r="BA39" s="36">
        <v>9.9299999999999999E-2</v>
      </c>
      <c r="BB39" s="36" t="s">
        <v>134</v>
      </c>
      <c r="BC39" s="36" t="s">
        <v>135</v>
      </c>
      <c r="BD39" s="36">
        <v>5</v>
      </c>
      <c r="BE39" s="36">
        <v>0.2419</v>
      </c>
      <c r="BF39" s="36" t="s">
        <v>134</v>
      </c>
      <c r="BG39" s="36" t="s">
        <v>135</v>
      </c>
      <c r="BH39" s="36">
        <v>5</v>
      </c>
      <c r="BI39" s="36">
        <v>1.7600000000000001E-2</v>
      </c>
      <c r="BJ39" s="36" t="s">
        <v>134</v>
      </c>
      <c r="BK39" s="36" t="s">
        <v>135</v>
      </c>
      <c r="BL39" s="36">
        <v>5</v>
      </c>
      <c r="BM39" s="36">
        <v>3.5499999999999997E-2</v>
      </c>
      <c r="BN39" s="36" t="s">
        <v>134</v>
      </c>
      <c r="BO39" s="36" t="s">
        <v>135</v>
      </c>
      <c r="BP39" s="36">
        <v>5</v>
      </c>
      <c r="BQ39" s="36">
        <v>3.8699999999999998E-2</v>
      </c>
      <c r="BR39" s="36" t="s">
        <v>134</v>
      </c>
      <c r="BS39" s="36" t="s">
        <v>135</v>
      </c>
      <c r="BT39" s="36">
        <v>5</v>
      </c>
      <c r="BU39" s="36">
        <v>1.11E-2</v>
      </c>
      <c r="BV39" s="36" t="s">
        <v>134</v>
      </c>
      <c r="BW39" s="36" t="s">
        <v>135</v>
      </c>
      <c r="BX39" s="36">
        <v>5</v>
      </c>
      <c r="BY39" s="36">
        <v>1.21E-2</v>
      </c>
      <c r="BZ39" s="36" t="s">
        <v>134</v>
      </c>
      <c r="CA39" s="36" t="s">
        <v>135</v>
      </c>
      <c r="CB39" s="36">
        <v>5</v>
      </c>
      <c r="CC39" s="36">
        <v>6.6799999999999998E-2</v>
      </c>
      <c r="CD39" s="36" t="s">
        <v>134</v>
      </c>
      <c r="CE39" s="36" t="s">
        <v>135</v>
      </c>
      <c r="CF39" s="36">
        <v>5</v>
      </c>
      <c r="CG39" s="36">
        <v>7.9000000000000008E-3</v>
      </c>
      <c r="CH39" s="36" t="s">
        <v>134</v>
      </c>
      <c r="CI39" s="36" t="s">
        <v>135</v>
      </c>
      <c r="CJ39" s="36">
        <v>5</v>
      </c>
      <c r="CK39" s="36">
        <v>2.1899999999999999E-2</v>
      </c>
      <c r="CL39" s="36" t="s">
        <v>134</v>
      </c>
    </row>
    <row r="40" spans="1:90" ht="15" thickBot="1" x14ac:dyDescent="0.35">
      <c r="A40" s="47"/>
      <c r="B40" s="43">
        <v>2019</v>
      </c>
      <c r="C40" s="42">
        <v>478163</v>
      </c>
      <c r="D40" s="42">
        <v>15</v>
      </c>
      <c r="E40" s="29">
        <f>(D40/C40)*100000</f>
        <v>3.1370055817785989</v>
      </c>
      <c r="F40" s="4">
        <f>LN(E40)</f>
        <v>1.1432687085434576</v>
      </c>
      <c r="G40" s="46"/>
      <c r="H40" s="3"/>
      <c r="I40" s="3"/>
      <c r="J40" s="3"/>
      <c r="K40" s="45"/>
      <c r="L40" s="42">
        <v>241100</v>
      </c>
      <c r="M40" s="42">
        <v>81</v>
      </c>
      <c r="N40" s="29">
        <f>(M40/L40)*100000</f>
        <v>33.596018249688925</v>
      </c>
      <c r="O40" s="4">
        <f>LN(N40)</f>
        <v>3.5144075554734049</v>
      </c>
      <c r="P40" s="46"/>
      <c r="Q40" s="3"/>
      <c r="R40" s="3"/>
      <c r="S40" s="3"/>
      <c r="T40" s="70"/>
      <c r="U40" s="42">
        <v>115424</v>
      </c>
      <c r="V40" s="42">
        <v>274</v>
      </c>
      <c r="W40" s="29">
        <f>(V40/U40)*100000</f>
        <v>237.38563903520932</v>
      </c>
      <c r="X40" s="4">
        <f>LN(W40)</f>
        <v>5.4696859876550334</v>
      </c>
      <c r="Y40" s="69"/>
      <c r="Z40" s="40"/>
      <c r="AA40" s="40"/>
      <c r="AB40" s="40"/>
      <c r="AC40" s="45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</row>
    <row r="41" spans="1:90" ht="15" thickBot="1" x14ac:dyDescent="0.35">
      <c r="A41" s="47"/>
      <c r="B41" s="43">
        <v>2020</v>
      </c>
      <c r="C41" s="42">
        <v>500105</v>
      </c>
      <c r="D41" s="42">
        <v>14</v>
      </c>
      <c r="E41" s="29">
        <f>(D41/C41)*100000</f>
        <v>2.7994121234540748</v>
      </c>
      <c r="F41" s="4">
        <f>LN(E41)</f>
        <v>1.0294094392280717</v>
      </c>
      <c r="G41" s="46"/>
      <c r="H41" s="3"/>
      <c r="I41" s="3"/>
      <c r="J41" s="3"/>
      <c r="K41" s="45"/>
      <c r="L41" s="42">
        <v>252156</v>
      </c>
      <c r="M41" s="42">
        <v>85</v>
      </c>
      <c r="N41" s="29">
        <f>(M41/L41)*100000</f>
        <v>33.709291073779724</v>
      </c>
      <c r="O41" s="4">
        <f>LN(N41)</f>
        <v>3.5177734988788738</v>
      </c>
      <c r="P41" s="46"/>
      <c r="Q41" s="3"/>
      <c r="R41" s="3"/>
      <c r="S41" s="3"/>
      <c r="T41" s="70"/>
      <c r="U41" s="42">
        <v>119780</v>
      </c>
      <c r="V41" s="42">
        <v>367</v>
      </c>
      <c r="W41" s="29">
        <f>(V41/U41)*100000</f>
        <v>306.39505760561025</v>
      </c>
      <c r="X41" s="4">
        <f>LN(W41)</f>
        <v>5.7248753072063447</v>
      </c>
      <c r="Y41" s="69"/>
      <c r="Z41" s="40"/>
      <c r="AA41" s="40"/>
      <c r="AB41" s="40"/>
      <c r="AC41" s="45"/>
      <c r="AE41" s="36" t="s">
        <v>120</v>
      </c>
      <c r="AF41" s="36">
        <v>0.1116</v>
      </c>
      <c r="AG41" s="36" t="s">
        <v>251</v>
      </c>
      <c r="AH41" s="36"/>
      <c r="AI41" s="36" t="s">
        <v>120</v>
      </c>
      <c r="AJ41" s="36">
        <v>1.6536999999999999</v>
      </c>
      <c r="AK41" s="36" t="s">
        <v>250</v>
      </c>
      <c r="AL41" s="36"/>
      <c r="AM41" s="36" t="s">
        <v>120</v>
      </c>
      <c r="AN41" s="36">
        <v>2.6536</v>
      </c>
      <c r="AO41" s="36" t="s">
        <v>249</v>
      </c>
      <c r="AP41" s="36"/>
      <c r="AQ41" s="36" t="s">
        <v>120</v>
      </c>
      <c r="AR41" s="36">
        <v>0.18809999999999999</v>
      </c>
      <c r="AS41" s="36" t="s">
        <v>248</v>
      </c>
      <c r="AT41" s="36"/>
      <c r="AU41" s="36" t="s">
        <v>120</v>
      </c>
      <c r="AV41" s="36">
        <v>19.3765</v>
      </c>
      <c r="AW41" s="36" t="s">
        <v>247</v>
      </c>
      <c r="AX41" s="36"/>
      <c r="AY41" s="36" t="s">
        <v>120</v>
      </c>
      <c r="AZ41" s="36">
        <v>89.668599999999998</v>
      </c>
      <c r="BA41" s="36" t="s">
        <v>99</v>
      </c>
      <c r="BB41" s="36"/>
      <c r="BC41" s="36" t="s">
        <v>120</v>
      </c>
      <c r="BD41" s="36">
        <v>0.29010000000000002</v>
      </c>
      <c r="BE41" s="36" t="s">
        <v>246</v>
      </c>
      <c r="BF41" s="36"/>
      <c r="BG41" s="36" t="s">
        <v>120</v>
      </c>
      <c r="BH41" s="36">
        <v>2.0899999999999998E-2</v>
      </c>
      <c r="BI41" s="36" t="s">
        <v>245</v>
      </c>
      <c r="BJ41" s="36"/>
      <c r="BK41" s="36" t="s">
        <v>120</v>
      </c>
      <c r="BL41" s="36">
        <v>2.7877000000000001</v>
      </c>
      <c r="BM41" s="36" t="s">
        <v>244</v>
      </c>
      <c r="BN41" s="36"/>
      <c r="BO41" s="36" t="s">
        <v>120</v>
      </c>
      <c r="BP41" s="36">
        <v>0.29320000000000002</v>
      </c>
      <c r="BQ41" s="36" t="s">
        <v>243</v>
      </c>
      <c r="BR41" s="36"/>
      <c r="BS41" s="36" t="s">
        <v>120</v>
      </c>
      <c r="BT41" s="36">
        <v>5.8358999999999996</v>
      </c>
      <c r="BU41" s="36" t="s">
        <v>242</v>
      </c>
      <c r="BV41" s="36"/>
      <c r="BW41" s="36" t="s">
        <v>120</v>
      </c>
      <c r="BX41" s="36">
        <v>19.636399999999998</v>
      </c>
      <c r="BY41" s="36" t="s">
        <v>241</v>
      </c>
      <c r="BZ41" s="36"/>
      <c r="CA41" s="36" t="s">
        <v>120</v>
      </c>
      <c r="CB41" s="36">
        <v>4.1799999999999997E-2</v>
      </c>
      <c r="CC41" s="36" t="s">
        <v>240</v>
      </c>
      <c r="CD41" s="36"/>
      <c r="CE41" s="36" t="s">
        <v>120</v>
      </c>
      <c r="CF41" s="36">
        <v>3.5799999999999998E-2</v>
      </c>
      <c r="CG41" s="36" t="s">
        <v>239</v>
      </c>
      <c r="CH41" s="36"/>
      <c r="CI41" s="36" t="s">
        <v>120</v>
      </c>
      <c r="CJ41" s="36">
        <v>7.9737</v>
      </c>
      <c r="CK41" s="36" t="s">
        <v>238</v>
      </c>
      <c r="CL41" s="36"/>
    </row>
    <row r="42" spans="1:90" ht="15" thickBot="1" x14ac:dyDescent="0.35">
      <c r="A42" s="44"/>
      <c r="B42" s="43">
        <v>2021</v>
      </c>
      <c r="C42" s="42">
        <v>520214</v>
      </c>
      <c r="D42" s="42">
        <v>15</v>
      </c>
      <c r="E42" s="29">
        <f>(D42/C42)*100000</f>
        <v>2.8834287427866228</v>
      </c>
      <c r="F42" s="4">
        <f>LN(E42)</f>
        <v>1.0589801217120167</v>
      </c>
      <c r="G42" s="41"/>
      <c r="H42" s="3"/>
      <c r="I42" s="3"/>
      <c r="J42" s="3"/>
      <c r="K42" s="39"/>
      <c r="L42" s="42">
        <v>263255</v>
      </c>
      <c r="M42" s="42">
        <v>85</v>
      </c>
      <c r="N42" s="29">
        <f>(M42/L42)*100000</f>
        <v>32.28808569637804</v>
      </c>
      <c r="O42" s="4">
        <f>LN(N42)</f>
        <v>3.4746982982923678</v>
      </c>
      <c r="P42" s="41"/>
      <c r="Q42" s="3"/>
      <c r="R42" s="3"/>
      <c r="S42" s="3"/>
      <c r="T42" s="68"/>
      <c r="U42" s="42">
        <v>122827</v>
      </c>
      <c r="V42" s="42">
        <v>330</v>
      </c>
      <c r="W42" s="29">
        <f>(V42/U42)*100000</f>
        <v>268.67056917452999</v>
      </c>
      <c r="X42" s="4">
        <f>LN(W42)</f>
        <v>5.5934859791965366</v>
      </c>
      <c r="Y42" s="67"/>
      <c r="Z42" s="40"/>
      <c r="AA42" s="40"/>
      <c r="AB42" s="40"/>
      <c r="AC42" s="39"/>
      <c r="AE42" s="36" t="s">
        <v>116</v>
      </c>
      <c r="AF42" s="36" t="s">
        <v>237</v>
      </c>
      <c r="AG42" s="36"/>
      <c r="AH42" s="36"/>
      <c r="AI42" s="36" t="s">
        <v>116</v>
      </c>
      <c r="AJ42" s="36" t="s">
        <v>236</v>
      </c>
      <c r="AK42" s="36"/>
      <c r="AL42" s="36"/>
      <c r="AM42" s="36" t="s">
        <v>116</v>
      </c>
      <c r="AN42" s="36" t="s">
        <v>113</v>
      </c>
      <c r="AO42" s="36"/>
      <c r="AP42" s="36"/>
      <c r="AQ42" s="36" t="s">
        <v>116</v>
      </c>
      <c r="AR42" s="36" t="s">
        <v>237</v>
      </c>
      <c r="AS42" s="36"/>
      <c r="AT42" s="36"/>
      <c r="AU42" s="36" t="s">
        <v>116</v>
      </c>
      <c r="AV42" s="36" t="s">
        <v>236</v>
      </c>
      <c r="AW42" s="36"/>
      <c r="AX42" s="36"/>
      <c r="AY42" s="36" t="s">
        <v>116</v>
      </c>
      <c r="AZ42" s="36" t="s">
        <v>235</v>
      </c>
      <c r="BA42" s="36"/>
      <c r="BB42" s="36"/>
      <c r="BC42" s="36" t="s">
        <v>116</v>
      </c>
      <c r="BD42" s="36" t="s">
        <v>237</v>
      </c>
      <c r="BE42" s="36"/>
      <c r="BF42" s="36"/>
      <c r="BG42" s="36" t="s">
        <v>116</v>
      </c>
      <c r="BH42" s="36" t="s">
        <v>236</v>
      </c>
      <c r="BI42" s="36"/>
      <c r="BJ42" s="36"/>
      <c r="BK42" s="36" t="s">
        <v>116</v>
      </c>
      <c r="BL42" s="36" t="s">
        <v>235</v>
      </c>
      <c r="BM42" s="36"/>
      <c r="BN42" s="36"/>
      <c r="BO42" s="36" t="s">
        <v>116</v>
      </c>
      <c r="BP42" s="36" t="s">
        <v>237</v>
      </c>
      <c r="BQ42" s="36"/>
      <c r="BR42" s="36"/>
      <c r="BS42" s="36" t="s">
        <v>116</v>
      </c>
      <c r="BT42" s="36" t="s">
        <v>236</v>
      </c>
      <c r="BU42" s="36"/>
      <c r="BV42" s="36"/>
      <c r="BW42" s="36" t="s">
        <v>116</v>
      </c>
      <c r="BX42" s="36" t="s">
        <v>235</v>
      </c>
      <c r="BY42" s="36"/>
      <c r="BZ42" s="36"/>
      <c r="CA42" s="36" t="s">
        <v>116</v>
      </c>
      <c r="CB42" s="36" t="s">
        <v>237</v>
      </c>
      <c r="CC42" s="36"/>
      <c r="CD42" s="36"/>
      <c r="CE42" s="36" t="s">
        <v>116</v>
      </c>
      <c r="CF42" s="36" t="s">
        <v>236</v>
      </c>
      <c r="CG42" s="36"/>
      <c r="CH42" s="36"/>
      <c r="CI42" s="36" t="s">
        <v>116</v>
      </c>
      <c r="CJ42" s="36" t="s">
        <v>235</v>
      </c>
      <c r="CK42" s="36"/>
      <c r="CL42" s="36"/>
    </row>
    <row r="43" spans="1:90" ht="15" thickBot="1" x14ac:dyDescent="0.35">
      <c r="A43" s="62" t="s">
        <v>13</v>
      </c>
      <c r="B43" s="55">
        <v>2016</v>
      </c>
      <c r="C43" s="54">
        <v>1901379</v>
      </c>
      <c r="D43" s="54">
        <v>61</v>
      </c>
      <c r="E43" s="29">
        <f>(D43/C43)*100000</f>
        <v>3.2081978395680188</v>
      </c>
      <c r="F43" s="4">
        <f>LN(E43)</f>
        <v>1.1657093587909946</v>
      </c>
      <c r="G43" s="61">
        <v>1.06E-2</v>
      </c>
      <c r="H43" s="3">
        <f>(EXP(G43)-1)*100</f>
        <v>1.0656379029815977</v>
      </c>
      <c r="I43" s="3">
        <f>(EXP(-0.057)-1)*100</f>
        <v>-5.5405930633476652</v>
      </c>
      <c r="J43" s="3">
        <f>(EXP(0.078)-1)*100</f>
        <v>8.1122658670083059</v>
      </c>
      <c r="K43" s="60">
        <v>0.68689999999999996</v>
      </c>
      <c r="L43" s="54">
        <v>1135443</v>
      </c>
      <c r="M43" s="54">
        <v>351</v>
      </c>
      <c r="N43" s="29">
        <f>(M43/L43)*100000</f>
        <v>30.913044512141955</v>
      </c>
      <c r="O43" s="4">
        <f>LN(N43)</f>
        <v>3.4311782473189076</v>
      </c>
      <c r="P43" s="66">
        <v>5.9700000000000003E-2</v>
      </c>
      <c r="Q43" s="3">
        <f>(EXP(P43)-1)*100</f>
        <v>6.1518043359262808</v>
      </c>
      <c r="R43" s="3">
        <f>(EXP(0.022)-1)*100</f>
        <v>2.2243784470438177</v>
      </c>
      <c r="S43" s="3">
        <f>(EXP(0.097)-1)*100</f>
        <v>10.186037362101064</v>
      </c>
      <c r="T43" s="60">
        <v>1.17E-2</v>
      </c>
      <c r="U43" s="54">
        <v>616788</v>
      </c>
      <c r="V43" s="54">
        <v>1585</v>
      </c>
      <c r="W43" s="29">
        <f>(V43/U43)*100000</f>
        <v>256.97646517117715</v>
      </c>
      <c r="X43" s="4">
        <f>LN(W43)</f>
        <v>5.5489845054925269</v>
      </c>
      <c r="Y43" s="61">
        <v>7.3700000000000002E-2</v>
      </c>
      <c r="Z43" s="40">
        <f>(EXP(Y43) -1) * 100</f>
        <v>7.648381190603204</v>
      </c>
      <c r="AA43" s="40">
        <f>(EXP(0.052) -1) * 100</f>
        <v>5.3375742513364743</v>
      </c>
      <c r="AB43" s="40">
        <f>(EXP(0.095) -1) * 100</f>
        <v>9.965885512610285</v>
      </c>
      <c r="AC43" s="60">
        <v>6.9999999999999999E-4</v>
      </c>
      <c r="AE43" s="36" t="s">
        <v>114</v>
      </c>
      <c r="AF43" s="36" t="s">
        <v>113</v>
      </c>
      <c r="AG43" s="36"/>
      <c r="AH43" s="36"/>
      <c r="AI43" s="36" t="s">
        <v>114</v>
      </c>
      <c r="AJ43" s="36" t="s">
        <v>113</v>
      </c>
      <c r="AK43" s="36"/>
      <c r="AL43" s="36"/>
      <c r="AM43" s="36" t="s">
        <v>114</v>
      </c>
      <c r="AN43" s="36" t="s">
        <v>234</v>
      </c>
      <c r="AO43" s="36"/>
      <c r="AP43" s="36"/>
      <c r="AQ43" s="36" t="s">
        <v>114</v>
      </c>
      <c r="AR43" s="36" t="s">
        <v>113</v>
      </c>
      <c r="AS43" s="36"/>
      <c r="AT43" s="36"/>
      <c r="AU43" s="36" t="s">
        <v>114</v>
      </c>
      <c r="AV43" s="36" t="s">
        <v>113</v>
      </c>
      <c r="AW43" s="36"/>
      <c r="AX43" s="36"/>
      <c r="AY43" s="36" t="s">
        <v>114</v>
      </c>
      <c r="AZ43" s="36" t="s">
        <v>113</v>
      </c>
      <c r="BA43" s="36"/>
      <c r="BB43" s="36"/>
      <c r="BC43" s="36" t="s">
        <v>114</v>
      </c>
      <c r="BD43" s="36" t="s">
        <v>113</v>
      </c>
      <c r="BE43" s="36"/>
      <c r="BF43" s="36"/>
      <c r="BG43" s="36" t="s">
        <v>114</v>
      </c>
      <c r="BH43" s="36" t="s">
        <v>113</v>
      </c>
      <c r="BI43" s="36"/>
      <c r="BJ43" s="36"/>
      <c r="BK43" s="36" t="s">
        <v>114</v>
      </c>
      <c r="BL43" s="36" t="s">
        <v>113</v>
      </c>
      <c r="BM43" s="36"/>
      <c r="BN43" s="36"/>
      <c r="BO43" s="36" t="s">
        <v>114</v>
      </c>
      <c r="BP43" s="36" t="s">
        <v>113</v>
      </c>
      <c r="BQ43" s="36"/>
      <c r="BR43" s="36"/>
      <c r="BS43" s="36" t="s">
        <v>114</v>
      </c>
      <c r="BT43" s="36" t="s">
        <v>113</v>
      </c>
      <c r="BU43" s="36"/>
      <c r="BV43" s="36"/>
      <c r="BW43" s="36" t="s">
        <v>114</v>
      </c>
      <c r="BX43" s="36" t="s">
        <v>113</v>
      </c>
      <c r="BY43" s="36"/>
      <c r="BZ43" s="36"/>
      <c r="CA43" s="36" t="s">
        <v>114</v>
      </c>
      <c r="CB43" s="36" t="s">
        <v>113</v>
      </c>
      <c r="CC43" s="36"/>
      <c r="CD43" s="36"/>
      <c r="CE43" s="36" t="s">
        <v>114</v>
      </c>
      <c r="CF43" s="36" t="s">
        <v>113</v>
      </c>
      <c r="CG43" s="36"/>
      <c r="CH43" s="36"/>
      <c r="CI43" s="36" t="s">
        <v>114</v>
      </c>
      <c r="CJ43" s="36" t="s">
        <v>113</v>
      </c>
      <c r="CK43" s="36"/>
      <c r="CL43" s="36"/>
    </row>
    <row r="44" spans="1:90" ht="15" thickBot="1" x14ac:dyDescent="0.35">
      <c r="A44" s="59"/>
      <c r="B44" s="55">
        <v>2017</v>
      </c>
      <c r="C44" s="54">
        <v>1961149</v>
      </c>
      <c r="D44" s="54">
        <v>62</v>
      </c>
      <c r="E44" s="29">
        <f>(D44/C44)*100000</f>
        <v>3.1614120089804501</v>
      </c>
      <c r="F44" s="4">
        <f>LN(E44)</f>
        <v>1.1510187660812761</v>
      </c>
      <c r="G44" s="58"/>
      <c r="H44" s="3"/>
      <c r="I44" s="3"/>
      <c r="J44" s="3"/>
      <c r="K44" s="57"/>
      <c r="L44" s="54">
        <v>1170551</v>
      </c>
      <c r="M44" s="54">
        <v>391</v>
      </c>
      <c r="N44" s="29">
        <f>(M44/L44)*100000</f>
        <v>33.403072570097329</v>
      </c>
      <c r="O44" s="4">
        <f>LN(N44)</f>
        <v>3.508647888868234</v>
      </c>
      <c r="P44" s="65"/>
      <c r="Q44" s="3"/>
      <c r="R44" s="3"/>
      <c r="S44" s="3"/>
      <c r="T44" s="57"/>
      <c r="U44" s="54">
        <v>639861</v>
      </c>
      <c r="V44" s="54">
        <v>1837</v>
      </c>
      <c r="W44" s="29">
        <f>(V44/U44)*100000</f>
        <v>287.09360314193236</v>
      </c>
      <c r="X44" s="4">
        <f>LN(W44)</f>
        <v>5.6598083059381201</v>
      </c>
      <c r="Y44" s="58"/>
      <c r="Z44" s="40"/>
      <c r="AA44" s="40"/>
      <c r="AB44" s="40"/>
      <c r="AC44" s="57"/>
      <c r="AE44" s="36" t="s">
        <v>112</v>
      </c>
      <c r="AF44" s="36">
        <v>3.5</v>
      </c>
      <c r="AG44" s="36"/>
      <c r="AH44" s="36"/>
      <c r="AI44" s="36" t="s">
        <v>112</v>
      </c>
      <c r="AJ44" s="36">
        <v>3.5</v>
      </c>
      <c r="AK44" s="36"/>
      <c r="AL44" s="36"/>
      <c r="AM44" s="36" t="s">
        <v>112</v>
      </c>
      <c r="AN44" s="36">
        <v>3.5</v>
      </c>
      <c r="AO44" s="36"/>
      <c r="AP44" s="36"/>
      <c r="AQ44" s="36" t="s">
        <v>112</v>
      </c>
      <c r="AR44" s="36">
        <v>3.5</v>
      </c>
      <c r="AS44" s="36"/>
      <c r="AT44" s="36"/>
      <c r="AU44" s="36" t="s">
        <v>112</v>
      </c>
      <c r="AV44" s="36">
        <v>3.5</v>
      </c>
      <c r="AW44" s="36"/>
      <c r="AX44" s="36"/>
      <c r="AY44" s="36" t="s">
        <v>112</v>
      </c>
      <c r="AZ44" s="36">
        <v>3.5</v>
      </c>
      <c r="BA44" s="36"/>
      <c r="BB44" s="36"/>
      <c r="BC44" s="36" t="s">
        <v>112</v>
      </c>
      <c r="BD44" s="36">
        <v>3.5</v>
      </c>
      <c r="BE44" s="36"/>
      <c r="BF44" s="36"/>
      <c r="BG44" s="36" t="s">
        <v>112</v>
      </c>
      <c r="BH44" s="36">
        <v>3.5</v>
      </c>
      <c r="BI44" s="36"/>
      <c r="BJ44" s="36"/>
      <c r="BK44" s="36" t="s">
        <v>112</v>
      </c>
      <c r="BL44" s="36">
        <v>3.5</v>
      </c>
      <c r="BM44" s="36"/>
      <c r="BN44" s="36"/>
      <c r="BO44" s="36" t="s">
        <v>112</v>
      </c>
      <c r="BP44" s="36">
        <v>3.5</v>
      </c>
      <c r="BQ44" s="36"/>
      <c r="BR44" s="36"/>
      <c r="BS44" s="36" t="s">
        <v>112</v>
      </c>
      <c r="BT44" s="36">
        <v>3.5</v>
      </c>
      <c r="BU44" s="36"/>
      <c r="BV44" s="36"/>
      <c r="BW44" s="36" t="s">
        <v>112</v>
      </c>
      <c r="BX44" s="36">
        <v>3.5</v>
      </c>
      <c r="BY44" s="36"/>
      <c r="BZ44" s="36"/>
      <c r="CA44" s="36" t="s">
        <v>112</v>
      </c>
      <c r="CB44" s="36">
        <v>3.5</v>
      </c>
      <c r="CC44" s="36"/>
      <c r="CD44" s="36"/>
      <c r="CE44" s="36" t="s">
        <v>112</v>
      </c>
      <c r="CF44" s="36">
        <v>3.5</v>
      </c>
      <c r="CG44" s="36"/>
      <c r="CH44" s="36"/>
      <c r="CI44" s="36" t="s">
        <v>112</v>
      </c>
      <c r="CJ44" s="36">
        <v>3.5</v>
      </c>
      <c r="CK44" s="36"/>
      <c r="CL44" s="36"/>
    </row>
    <row r="45" spans="1:90" ht="15" thickBot="1" x14ac:dyDescent="0.35">
      <c r="A45" s="59"/>
      <c r="B45" s="55">
        <v>2018</v>
      </c>
      <c r="C45" s="54">
        <v>2022628</v>
      </c>
      <c r="D45" s="54">
        <v>79</v>
      </c>
      <c r="E45" s="29">
        <f>(D45/C45)*100000</f>
        <v>3.9058096694004036</v>
      </c>
      <c r="F45" s="4">
        <f>LN(E45)</f>
        <v>1.3624651035151789</v>
      </c>
      <c r="G45" s="58"/>
      <c r="H45" s="3"/>
      <c r="I45" s="3"/>
      <c r="J45" s="3"/>
      <c r="K45" s="57"/>
      <c r="L45" s="54">
        <v>1207957</v>
      </c>
      <c r="M45" s="54">
        <v>389</v>
      </c>
      <c r="N45" s="29">
        <f>(M45/L45)*100000</f>
        <v>32.203133058544303</v>
      </c>
      <c r="O45" s="4">
        <f>LN(N45)</f>
        <v>3.4720637477718213</v>
      </c>
      <c r="P45" s="65"/>
      <c r="Q45" s="3"/>
      <c r="R45" s="3"/>
      <c r="S45" s="3"/>
      <c r="T45" s="57"/>
      <c r="U45" s="54">
        <v>664763</v>
      </c>
      <c r="V45" s="54">
        <v>1889</v>
      </c>
      <c r="W45" s="29">
        <f>(V45/U45)*100000</f>
        <v>284.16142294321435</v>
      </c>
      <c r="X45" s="4">
        <f>LN(W45)</f>
        <v>5.6495424673335481</v>
      </c>
      <c r="Y45" s="58"/>
      <c r="Z45" s="40"/>
      <c r="AA45" s="40"/>
      <c r="AB45" s="40"/>
      <c r="AC45" s="57"/>
      <c r="AE45" s="36" t="s">
        <v>111</v>
      </c>
      <c r="AF45" s="36">
        <v>1.0017</v>
      </c>
      <c r="AG45" s="36"/>
      <c r="AH45" s="36"/>
      <c r="AI45" s="36" t="s">
        <v>111</v>
      </c>
      <c r="AJ45" s="36">
        <v>3.3967000000000001</v>
      </c>
      <c r="AK45" s="36"/>
      <c r="AL45" s="36"/>
      <c r="AM45" s="36" t="s">
        <v>111</v>
      </c>
      <c r="AN45" s="36">
        <v>5.4817</v>
      </c>
      <c r="AO45" s="36"/>
      <c r="AP45" s="36"/>
      <c r="AQ45" s="36" t="s">
        <v>111</v>
      </c>
      <c r="AR45" s="36">
        <v>1.2350000000000001</v>
      </c>
      <c r="AS45" s="36"/>
      <c r="AT45" s="36"/>
      <c r="AU45" s="36" t="s">
        <v>111</v>
      </c>
      <c r="AV45" s="36">
        <v>3.5716999999999999</v>
      </c>
      <c r="AW45" s="36"/>
      <c r="AX45" s="36"/>
      <c r="AY45" s="36" t="s">
        <v>111</v>
      </c>
      <c r="AZ45" s="36">
        <v>5.7332999999999998</v>
      </c>
      <c r="BA45" s="36"/>
      <c r="BB45" s="36"/>
      <c r="BC45" s="36" t="s">
        <v>111</v>
      </c>
      <c r="BD45" s="36">
        <v>1.5983000000000001</v>
      </c>
      <c r="BE45" s="36"/>
      <c r="BF45" s="36"/>
      <c r="BG45" s="36" t="s">
        <v>111</v>
      </c>
      <c r="BH45" s="36">
        <v>3.94</v>
      </c>
      <c r="BI45" s="36"/>
      <c r="BJ45" s="36"/>
      <c r="BK45" s="36" t="s">
        <v>111</v>
      </c>
      <c r="BL45" s="36">
        <v>6.1917</v>
      </c>
      <c r="BM45" s="36"/>
      <c r="BN45" s="36"/>
      <c r="BO45" s="36" t="s">
        <v>111</v>
      </c>
      <c r="BP45" s="36">
        <v>1.5683</v>
      </c>
      <c r="BQ45" s="36"/>
      <c r="BR45" s="36"/>
      <c r="BS45" s="36" t="s">
        <v>111</v>
      </c>
      <c r="BT45" s="36">
        <v>3.9333</v>
      </c>
      <c r="BU45" s="36"/>
      <c r="BV45" s="36"/>
      <c r="BW45" s="36" t="s">
        <v>111</v>
      </c>
      <c r="BX45" s="36">
        <v>6.2233000000000001</v>
      </c>
      <c r="BY45" s="36"/>
      <c r="BZ45" s="36"/>
      <c r="CA45" s="36" t="s">
        <v>111</v>
      </c>
      <c r="CB45" s="36">
        <v>1.8</v>
      </c>
      <c r="CC45" s="36"/>
      <c r="CD45" s="36"/>
      <c r="CE45" s="36" t="s">
        <v>111</v>
      </c>
      <c r="CF45" s="36">
        <v>4.1783000000000001</v>
      </c>
      <c r="CG45" s="36"/>
      <c r="CH45" s="36"/>
      <c r="CI45" s="36" t="s">
        <v>111</v>
      </c>
      <c r="CJ45" s="36">
        <v>6.3883000000000001</v>
      </c>
      <c r="CK45" s="36"/>
      <c r="CL45" s="36"/>
    </row>
    <row r="46" spans="1:90" ht="15" thickBot="1" x14ac:dyDescent="0.35">
      <c r="A46" s="59"/>
      <c r="B46" s="55">
        <v>2019</v>
      </c>
      <c r="C46" s="54">
        <v>2087999</v>
      </c>
      <c r="D46" s="54">
        <v>79</v>
      </c>
      <c r="E46" s="29">
        <f>(D46/C46)*100000</f>
        <v>3.7835267162484274</v>
      </c>
      <c r="F46" s="4">
        <f>LN(E46)</f>
        <v>1.3306565683799012</v>
      </c>
      <c r="G46" s="58"/>
      <c r="H46" s="3"/>
      <c r="I46" s="3"/>
      <c r="J46" s="3"/>
      <c r="K46" s="57"/>
      <c r="L46" s="54">
        <v>1248228</v>
      </c>
      <c r="M46" s="54">
        <v>484</v>
      </c>
      <c r="N46" s="29">
        <f>(M46/L46)*100000</f>
        <v>38.774967393777416</v>
      </c>
      <c r="O46" s="4">
        <f>LN(N46)</f>
        <v>3.6577748681538651</v>
      </c>
      <c r="P46" s="65"/>
      <c r="Q46" s="3"/>
      <c r="R46" s="3"/>
      <c r="S46" s="3"/>
      <c r="T46" s="57"/>
      <c r="U46" s="54">
        <v>689381</v>
      </c>
      <c r="V46" s="54">
        <v>2200</v>
      </c>
      <c r="W46" s="29">
        <f>(V46/U46)*100000</f>
        <v>319.12686888672596</v>
      </c>
      <c r="X46" s="4">
        <f>LN(W46)</f>
        <v>5.7655887318287959</v>
      </c>
      <c r="Y46" s="58"/>
      <c r="Z46" s="40"/>
      <c r="AA46" s="40"/>
      <c r="AB46" s="40"/>
      <c r="AC46" s="57"/>
      <c r="AE46" s="36" t="s">
        <v>110</v>
      </c>
      <c r="AF46" s="36">
        <v>2.7099999999999999E-2</v>
      </c>
      <c r="AG46" s="36"/>
      <c r="AH46" s="36"/>
      <c r="AI46" s="36" t="s">
        <v>110</v>
      </c>
      <c r="AJ46" s="36">
        <v>0.29249999999999998</v>
      </c>
      <c r="AK46" s="36"/>
      <c r="AL46" s="36"/>
      <c r="AM46" s="36" t="s">
        <v>110</v>
      </c>
      <c r="AN46" s="36">
        <v>0.39879999999999999</v>
      </c>
      <c r="AO46" s="36"/>
      <c r="AP46" s="36"/>
      <c r="AQ46" s="36" t="s">
        <v>110</v>
      </c>
      <c r="AR46" s="36">
        <v>4.4900000000000002E-2</v>
      </c>
      <c r="AS46" s="36"/>
      <c r="AT46" s="36"/>
      <c r="AU46" s="36" t="s">
        <v>110</v>
      </c>
      <c r="AV46" s="36">
        <v>0.82889999999999997</v>
      </c>
      <c r="AW46" s="36"/>
      <c r="AX46" s="36"/>
      <c r="AY46" s="36" t="s">
        <v>110</v>
      </c>
      <c r="AZ46" s="36">
        <v>0.95730000000000004</v>
      </c>
      <c r="BA46" s="36"/>
      <c r="BB46" s="36"/>
      <c r="BC46" s="36" t="s">
        <v>110</v>
      </c>
      <c r="BD46" s="36">
        <v>6.7599999999999993E-2</v>
      </c>
      <c r="BE46" s="36"/>
      <c r="BF46" s="36"/>
      <c r="BG46" s="36" t="s">
        <v>110</v>
      </c>
      <c r="BH46" s="36">
        <v>5.1999999999999998E-3</v>
      </c>
      <c r="BI46" s="36"/>
      <c r="BJ46" s="36"/>
      <c r="BK46" s="36" t="s">
        <v>110</v>
      </c>
      <c r="BL46" s="36">
        <v>0.41070000000000001</v>
      </c>
      <c r="BM46" s="36"/>
      <c r="BN46" s="36"/>
      <c r="BO46" s="36" t="s">
        <v>110</v>
      </c>
      <c r="BP46" s="36">
        <v>6.83E-2</v>
      </c>
      <c r="BQ46" s="36"/>
      <c r="BR46" s="36"/>
      <c r="BS46" s="36" t="s">
        <v>110</v>
      </c>
      <c r="BT46" s="36">
        <v>0.59330000000000005</v>
      </c>
      <c r="BU46" s="36"/>
      <c r="BV46" s="36"/>
      <c r="BW46" s="36" t="s">
        <v>110</v>
      </c>
      <c r="BX46" s="36">
        <v>0.83079999999999998</v>
      </c>
      <c r="BY46" s="36"/>
      <c r="BZ46" s="36"/>
      <c r="CA46" s="36" t="s">
        <v>110</v>
      </c>
      <c r="CB46" s="36">
        <v>1.04E-2</v>
      </c>
      <c r="CC46" s="36"/>
      <c r="CD46" s="36"/>
      <c r="CE46" s="36" t="s">
        <v>110</v>
      </c>
      <c r="CF46" s="36">
        <v>8.8999999999999999E-3</v>
      </c>
      <c r="CG46" s="36"/>
      <c r="CH46" s="36"/>
      <c r="CI46" s="36" t="s">
        <v>110</v>
      </c>
      <c r="CJ46" s="36">
        <v>0.66590000000000005</v>
      </c>
      <c r="CK46" s="36"/>
      <c r="CL46" s="36"/>
    </row>
    <row r="47" spans="1:90" ht="15" thickBot="1" x14ac:dyDescent="0.35">
      <c r="A47" s="59"/>
      <c r="B47" s="55">
        <v>2020</v>
      </c>
      <c r="C47" s="54">
        <v>2156704</v>
      </c>
      <c r="D47" s="54">
        <v>68</v>
      </c>
      <c r="E47" s="29">
        <f>(D47/C47)*100000</f>
        <v>3.1529593305339998</v>
      </c>
      <c r="F47" s="4">
        <f>LN(E47)</f>
        <v>1.1483414818225834</v>
      </c>
      <c r="G47" s="58"/>
      <c r="H47" s="3"/>
      <c r="I47" s="3"/>
      <c r="J47" s="3"/>
      <c r="K47" s="57"/>
      <c r="L47" s="54">
        <v>1289592</v>
      </c>
      <c r="M47" s="54">
        <v>478</v>
      </c>
      <c r="N47" s="29">
        <f>(M47/L47)*100000</f>
        <v>37.06598676170448</v>
      </c>
      <c r="O47" s="4">
        <f>LN(N47)</f>
        <v>3.6126997502203708</v>
      </c>
      <c r="P47" s="65"/>
      <c r="Q47" s="3"/>
      <c r="R47" s="3"/>
      <c r="S47" s="3"/>
      <c r="T47" s="57"/>
      <c r="U47" s="54">
        <v>709467</v>
      </c>
      <c r="V47" s="54">
        <v>2422</v>
      </c>
      <c r="W47" s="29">
        <f>(V47/U47)*100000</f>
        <v>341.38303825266007</v>
      </c>
      <c r="X47" s="4">
        <f>LN(W47)</f>
        <v>5.8330051262106375</v>
      </c>
      <c r="Y47" s="58"/>
      <c r="Z47" s="40"/>
      <c r="AA47" s="40"/>
      <c r="AB47" s="40"/>
      <c r="AC47" s="57"/>
      <c r="AE47" s="36" t="s">
        <v>109</v>
      </c>
      <c r="AF47" s="36">
        <v>-0.21609999999999999</v>
      </c>
      <c r="AG47" s="36"/>
      <c r="AH47" s="36"/>
      <c r="AI47" s="36" t="s">
        <v>109</v>
      </c>
      <c r="AJ47" s="36">
        <v>0.11559999999999999</v>
      </c>
      <c r="AK47" s="36"/>
      <c r="AL47" s="36"/>
      <c r="AM47" s="36" t="s">
        <v>109</v>
      </c>
      <c r="AN47" s="36">
        <v>0.2485</v>
      </c>
      <c r="AO47" s="36"/>
      <c r="AP47" s="36"/>
      <c r="AQ47" s="36" t="s">
        <v>109</v>
      </c>
      <c r="AR47" s="36">
        <v>-0.19389999999999999</v>
      </c>
      <c r="AS47" s="36"/>
      <c r="AT47" s="36"/>
      <c r="AU47" s="36" t="s">
        <v>109</v>
      </c>
      <c r="AV47" s="36">
        <v>0.78610000000000002</v>
      </c>
      <c r="AW47" s="36"/>
      <c r="AX47" s="36"/>
      <c r="AY47" s="36" t="s">
        <v>109</v>
      </c>
      <c r="AZ47" s="36">
        <v>0.9466</v>
      </c>
      <c r="BA47" s="36"/>
      <c r="BB47" s="36"/>
      <c r="BC47" s="36" t="s">
        <v>109</v>
      </c>
      <c r="BD47" s="36">
        <v>-0.16550000000000001</v>
      </c>
      <c r="BE47" s="36"/>
      <c r="BF47" s="36"/>
      <c r="BG47" s="36" t="s">
        <v>109</v>
      </c>
      <c r="BH47" s="36">
        <v>-0.24349999999999999</v>
      </c>
      <c r="BI47" s="36"/>
      <c r="BJ47" s="36"/>
      <c r="BK47" s="36" t="s">
        <v>109</v>
      </c>
      <c r="BL47" s="36">
        <v>0.26340000000000002</v>
      </c>
      <c r="BM47" s="36"/>
      <c r="BN47" s="36"/>
      <c r="BO47" s="36" t="s">
        <v>109</v>
      </c>
      <c r="BP47" s="36">
        <v>-0.1646</v>
      </c>
      <c r="BQ47" s="36"/>
      <c r="BR47" s="36"/>
      <c r="BS47" s="36" t="s">
        <v>109</v>
      </c>
      <c r="BT47" s="36">
        <v>0.49170000000000003</v>
      </c>
      <c r="BU47" s="36"/>
      <c r="BV47" s="36"/>
      <c r="BW47" s="36" t="s">
        <v>109</v>
      </c>
      <c r="BX47" s="36">
        <v>0.78849999999999998</v>
      </c>
      <c r="BY47" s="36"/>
      <c r="BZ47" s="36"/>
      <c r="CA47" s="36" t="s">
        <v>109</v>
      </c>
      <c r="CB47" s="36">
        <v>-0.23710000000000001</v>
      </c>
      <c r="CC47" s="36"/>
      <c r="CD47" s="36"/>
      <c r="CE47" s="36" t="s">
        <v>109</v>
      </c>
      <c r="CF47" s="36">
        <v>-0.2389</v>
      </c>
      <c r="CG47" s="36"/>
      <c r="CH47" s="36"/>
      <c r="CI47" s="36" t="s">
        <v>109</v>
      </c>
      <c r="CJ47" s="36">
        <v>0.58240000000000003</v>
      </c>
      <c r="CK47" s="36"/>
      <c r="CL47" s="36"/>
    </row>
    <row r="48" spans="1:90" ht="15" thickBot="1" x14ac:dyDescent="0.35">
      <c r="A48" s="56"/>
      <c r="B48" s="55">
        <v>2021</v>
      </c>
      <c r="C48" s="54">
        <v>2227328</v>
      </c>
      <c r="D48" s="54">
        <v>78</v>
      </c>
      <c r="E48" s="29">
        <f>(D48/C48)*100000</f>
        <v>3.5019539106947875</v>
      </c>
      <c r="F48" s="4">
        <f>LN(E48)</f>
        <v>1.2533210729246245</v>
      </c>
      <c r="G48" s="53"/>
      <c r="H48" s="3"/>
      <c r="I48" s="3"/>
      <c r="J48" s="3"/>
      <c r="K48" s="52"/>
      <c r="L48" s="54">
        <v>1331551</v>
      </c>
      <c r="M48" s="54">
        <v>564</v>
      </c>
      <c r="N48" s="29">
        <f>(M48/L48)*100000</f>
        <v>42.356620212068485</v>
      </c>
      <c r="O48" s="4">
        <f>LN(N48)</f>
        <v>3.7461247302995258</v>
      </c>
      <c r="P48" s="64"/>
      <c r="Q48" s="3"/>
      <c r="R48" s="3"/>
      <c r="S48" s="3"/>
      <c r="T48" s="52"/>
      <c r="U48" s="54">
        <v>723445</v>
      </c>
      <c r="V48" s="54">
        <v>2737</v>
      </c>
      <c r="W48" s="29">
        <f>(V48/U48)*100000</f>
        <v>378.3286911928343</v>
      </c>
      <c r="X48" s="4">
        <f>LN(W48)</f>
        <v>5.9357633711972291</v>
      </c>
      <c r="Y48" s="53"/>
      <c r="Z48" s="40"/>
      <c r="AA48" s="40"/>
      <c r="AB48" s="40"/>
      <c r="AC48" s="52"/>
      <c r="AE48" s="36" t="s">
        <v>108</v>
      </c>
      <c r="AF48" s="36">
        <v>0.16470000000000001</v>
      </c>
      <c r="AG48" s="36"/>
      <c r="AH48" s="36"/>
      <c r="AI48" s="36" t="s">
        <v>108</v>
      </c>
      <c r="AJ48" s="36">
        <v>0.54079999999999995</v>
      </c>
      <c r="AK48" s="36"/>
      <c r="AL48" s="36"/>
      <c r="AM48" s="36" t="s">
        <v>108</v>
      </c>
      <c r="AN48" s="36">
        <v>0.63149999999999995</v>
      </c>
      <c r="AO48" s="36"/>
      <c r="AP48" s="36"/>
      <c r="AQ48" s="36" t="s">
        <v>108</v>
      </c>
      <c r="AR48" s="36">
        <v>0.21190000000000001</v>
      </c>
      <c r="AS48" s="36"/>
      <c r="AT48" s="36"/>
      <c r="AU48" s="36" t="s">
        <v>108</v>
      </c>
      <c r="AV48" s="36">
        <v>0.91039999999999999</v>
      </c>
      <c r="AW48" s="36"/>
      <c r="AX48" s="36"/>
      <c r="AY48" s="36" t="s">
        <v>108</v>
      </c>
      <c r="AZ48" s="36">
        <v>0.97840000000000005</v>
      </c>
      <c r="BA48" s="36"/>
      <c r="BB48" s="36"/>
      <c r="BC48" s="36" t="s">
        <v>108</v>
      </c>
      <c r="BD48" s="36">
        <v>0.26</v>
      </c>
      <c r="BE48" s="36"/>
      <c r="BF48" s="36"/>
      <c r="BG48" s="36" t="s">
        <v>108</v>
      </c>
      <c r="BH48" s="36">
        <v>7.2099999999999997E-2</v>
      </c>
      <c r="BI48" s="36"/>
      <c r="BJ48" s="36"/>
      <c r="BK48" s="36" t="s">
        <v>108</v>
      </c>
      <c r="BL48" s="36">
        <v>0.64090000000000003</v>
      </c>
      <c r="BM48" s="36"/>
      <c r="BN48" s="36"/>
      <c r="BO48" s="36" t="s">
        <v>108</v>
      </c>
      <c r="BP48" s="36">
        <v>0.26129999999999998</v>
      </c>
      <c r="BQ48" s="36"/>
      <c r="BR48" s="36"/>
      <c r="BS48" s="36" t="s">
        <v>108</v>
      </c>
      <c r="BT48" s="36">
        <v>0.77029999999999998</v>
      </c>
      <c r="BU48" s="36"/>
      <c r="BV48" s="36"/>
      <c r="BW48" s="36" t="s">
        <v>108</v>
      </c>
      <c r="BX48" s="36">
        <v>0.91149999999999998</v>
      </c>
      <c r="BY48" s="36"/>
      <c r="BZ48" s="36"/>
      <c r="CA48" s="36" t="s">
        <v>108</v>
      </c>
      <c r="CB48" s="36">
        <v>0.1017</v>
      </c>
      <c r="CC48" s="36"/>
      <c r="CD48" s="36"/>
      <c r="CE48" s="36" t="s">
        <v>108</v>
      </c>
      <c r="CF48" s="36">
        <v>9.4200000000000006E-2</v>
      </c>
      <c r="CG48" s="36"/>
      <c r="CH48" s="36"/>
      <c r="CI48" s="36" t="s">
        <v>108</v>
      </c>
      <c r="CJ48" s="36">
        <v>0.81599999999999995</v>
      </c>
      <c r="CK48" s="36"/>
      <c r="CL48" s="36"/>
    </row>
    <row r="49" spans="1:90" ht="15" thickBot="1" x14ac:dyDescent="0.35">
      <c r="A49" s="51" t="s">
        <v>9</v>
      </c>
      <c r="B49" s="50">
        <v>2016</v>
      </c>
      <c r="C49" s="42">
        <v>501455</v>
      </c>
      <c r="D49" s="42">
        <v>25</v>
      </c>
      <c r="E49" s="29">
        <f>(D49/C49)*100000</f>
        <v>4.9854922176466481</v>
      </c>
      <c r="F49" s="4">
        <f>LN(E49)</f>
        <v>1.606532138287929</v>
      </c>
      <c r="G49" s="49">
        <v>3.0599999999999999E-2</v>
      </c>
      <c r="H49" s="3">
        <f>(EXP(G49)-1)*100</f>
        <v>3.1072992192807014</v>
      </c>
      <c r="I49" s="3">
        <f>(EXP(-0.127)-1)*100</f>
        <v>-11.926632740284305</v>
      </c>
      <c r="J49" s="3">
        <f>(EXP(0.188)-1)*100</f>
        <v>20.683351534960526</v>
      </c>
      <c r="K49" s="48">
        <v>0.61870000000000003</v>
      </c>
      <c r="L49" s="42">
        <v>256642</v>
      </c>
      <c r="M49" s="42">
        <v>130</v>
      </c>
      <c r="N49" s="29">
        <f>(M49/L49)*100000</f>
        <v>50.65421871712347</v>
      </c>
      <c r="O49" s="4">
        <f>LN(N49)</f>
        <v>3.9250225187784333</v>
      </c>
      <c r="P49" s="49">
        <v>-2.3E-3</v>
      </c>
      <c r="Q49" s="3">
        <f>(EXP(P49)-1)*100</f>
        <v>-0.229735702666789</v>
      </c>
      <c r="R49" s="3">
        <f>(EXP(-0.046)-1)*100</f>
        <v>-4.4958037809285312</v>
      </c>
      <c r="S49" s="3">
        <f>(EXP(0.042)-1)*100</f>
        <v>4.2894478750763243</v>
      </c>
      <c r="T49" s="48">
        <v>0.8921</v>
      </c>
      <c r="U49" s="42">
        <v>114015</v>
      </c>
      <c r="V49" s="42">
        <v>486</v>
      </c>
      <c r="W49" s="29">
        <f>(V49/U49)*100000</f>
        <v>426.25970267070124</v>
      </c>
      <c r="X49" s="4">
        <f>LN(W49)</f>
        <v>6.0550487912024717</v>
      </c>
      <c r="Y49" s="49">
        <v>2.8899999999999999E-2</v>
      </c>
      <c r="Z49" s="40">
        <f>(EXP(Y49) -1) * 100</f>
        <v>2.9321657162634684</v>
      </c>
      <c r="AA49" s="40">
        <f>(EXP(-0.019) -1) * 100</f>
        <v>-1.8820637757194003</v>
      </c>
      <c r="AB49" s="40">
        <f>(EXP(0.077) -1) * 100</f>
        <v>8.0042076392600414</v>
      </c>
      <c r="AC49" s="48">
        <v>0.17019999999999999</v>
      </c>
      <c r="AE49" s="36" t="s">
        <v>90</v>
      </c>
      <c r="AF49" s="36">
        <v>0.95469999999999999</v>
      </c>
      <c r="AG49" s="36" t="s">
        <v>233</v>
      </c>
      <c r="AH49" s="36" t="s">
        <v>232</v>
      </c>
      <c r="AI49" s="36" t="s">
        <v>90</v>
      </c>
      <c r="AJ49" s="36">
        <v>3.2606999999999999</v>
      </c>
      <c r="AK49" s="36" t="s">
        <v>231</v>
      </c>
      <c r="AL49" s="36" t="s">
        <v>82</v>
      </c>
      <c r="AM49" s="36" t="s">
        <v>90</v>
      </c>
      <c r="AN49" s="36">
        <v>5.2747000000000002</v>
      </c>
      <c r="AO49" s="36" t="s">
        <v>230</v>
      </c>
      <c r="AP49" s="36" t="s">
        <v>82</v>
      </c>
      <c r="AQ49" s="36" t="s">
        <v>90</v>
      </c>
      <c r="AR49" s="36">
        <v>1.198</v>
      </c>
      <c r="AS49" s="36" t="s">
        <v>229</v>
      </c>
      <c r="AT49" s="36" t="s">
        <v>82</v>
      </c>
      <c r="AU49" s="36" t="s">
        <v>90</v>
      </c>
      <c r="AV49" s="36">
        <v>3.3626999999999998</v>
      </c>
      <c r="AW49" s="36" t="s">
        <v>228</v>
      </c>
      <c r="AX49" s="36" t="s">
        <v>82</v>
      </c>
      <c r="AY49" s="36" t="s">
        <v>90</v>
      </c>
      <c r="AZ49" s="36">
        <v>5.4752999999999998</v>
      </c>
      <c r="BA49" s="36" t="s">
        <v>227</v>
      </c>
      <c r="BB49" s="36" t="s">
        <v>82</v>
      </c>
      <c r="BC49" s="36" t="s">
        <v>90</v>
      </c>
      <c r="BD49" s="36">
        <v>1.4913000000000001</v>
      </c>
      <c r="BE49" s="36" t="s">
        <v>226</v>
      </c>
      <c r="BF49" s="36" t="s">
        <v>225</v>
      </c>
      <c r="BG49" s="36" t="s">
        <v>90</v>
      </c>
      <c r="BH49" s="36">
        <v>3.948</v>
      </c>
      <c r="BI49" s="36" t="s">
        <v>224</v>
      </c>
      <c r="BJ49" s="36" t="s">
        <v>82</v>
      </c>
      <c r="BK49" s="36" t="s">
        <v>90</v>
      </c>
      <c r="BL49" s="36">
        <v>6.0907</v>
      </c>
      <c r="BM49" s="36" t="s">
        <v>223</v>
      </c>
      <c r="BN49" s="36" t="s">
        <v>82</v>
      </c>
      <c r="BO49" s="36" t="s">
        <v>90</v>
      </c>
      <c r="BP49" s="36">
        <v>1.5253000000000001</v>
      </c>
      <c r="BQ49" s="36" t="s">
        <v>222</v>
      </c>
      <c r="BR49" s="36" t="s">
        <v>82</v>
      </c>
      <c r="BS49" s="36" t="s">
        <v>90</v>
      </c>
      <c r="BT49" s="36">
        <v>3.8653</v>
      </c>
      <c r="BU49" s="36" t="s">
        <v>221</v>
      </c>
      <c r="BV49" s="36" t="s">
        <v>82</v>
      </c>
      <c r="BW49" s="36" t="s">
        <v>90</v>
      </c>
      <c r="BX49" s="36">
        <v>6.1393000000000004</v>
      </c>
      <c r="BY49" s="36" t="s">
        <v>220</v>
      </c>
      <c r="BZ49" s="36" t="s">
        <v>82</v>
      </c>
      <c r="CA49" s="36" t="s">
        <v>90</v>
      </c>
      <c r="CB49" s="36">
        <v>1.778</v>
      </c>
      <c r="CC49" s="36" t="s">
        <v>219</v>
      </c>
      <c r="CD49" s="36" t="s">
        <v>82</v>
      </c>
      <c r="CE49" s="36" t="s">
        <v>90</v>
      </c>
      <c r="CF49" s="36">
        <v>4.1712999999999996</v>
      </c>
      <c r="CG49" s="36" t="s">
        <v>218</v>
      </c>
      <c r="CH49" s="36" t="s">
        <v>82</v>
      </c>
      <c r="CI49" s="36" t="s">
        <v>90</v>
      </c>
      <c r="CJ49" s="36">
        <v>6.2873000000000001</v>
      </c>
      <c r="CK49" s="36" t="s">
        <v>217</v>
      </c>
      <c r="CL49" s="36" t="s">
        <v>82</v>
      </c>
    </row>
    <row r="50" spans="1:90" ht="15" thickBot="1" x14ac:dyDescent="0.35">
      <c r="A50" s="47"/>
      <c r="B50" s="43">
        <v>2017</v>
      </c>
      <c r="C50" s="42">
        <v>527468</v>
      </c>
      <c r="D50" s="42">
        <v>24</v>
      </c>
      <c r="E50" s="29">
        <f>(D50/C50)*100000</f>
        <v>4.5500390545018847</v>
      </c>
      <c r="F50" s="4">
        <f>LN(E50)</f>
        <v>1.5151358163330295</v>
      </c>
      <c r="G50" s="46"/>
      <c r="H50" s="3"/>
      <c r="I50" s="3"/>
      <c r="J50" s="3"/>
      <c r="K50" s="45"/>
      <c r="L50" s="42">
        <v>268788</v>
      </c>
      <c r="M50" s="42">
        <v>146</v>
      </c>
      <c r="N50" s="29">
        <f>(M50/L50)*100000</f>
        <v>54.317901096775152</v>
      </c>
      <c r="O50" s="4">
        <f>LN(N50)</f>
        <v>3.9948538429010982</v>
      </c>
      <c r="P50" s="46"/>
      <c r="Q50" s="3"/>
      <c r="R50" s="3"/>
      <c r="S50" s="3"/>
      <c r="T50" s="45"/>
      <c r="U50" s="42">
        <v>120692</v>
      </c>
      <c r="V50" s="42">
        <v>563</v>
      </c>
      <c r="W50" s="29">
        <f>(V50/U50)*100000</f>
        <v>466.47665131077451</v>
      </c>
      <c r="X50" s="4">
        <f>LN(W50)</f>
        <v>6.1452079682540548</v>
      </c>
      <c r="Y50" s="46"/>
      <c r="Z50" s="40"/>
      <c r="AA50" s="40"/>
      <c r="AB50" s="40"/>
      <c r="AC50" s="45"/>
      <c r="AE50" s="36" t="s">
        <v>72</v>
      </c>
      <c r="AF50" s="36">
        <v>1.34E-2</v>
      </c>
      <c r="AG50" s="36" t="s">
        <v>216</v>
      </c>
      <c r="AH50" s="36" t="s">
        <v>215</v>
      </c>
      <c r="AI50" s="36" t="s">
        <v>72</v>
      </c>
      <c r="AJ50" s="36">
        <v>3.8899999999999997E-2</v>
      </c>
      <c r="AK50" s="36" t="s">
        <v>214</v>
      </c>
      <c r="AL50" s="36" t="s">
        <v>213</v>
      </c>
      <c r="AM50" s="36" t="s">
        <v>72</v>
      </c>
      <c r="AN50" s="63">
        <v>5.91E-2</v>
      </c>
      <c r="AO50" s="36" t="s">
        <v>212</v>
      </c>
      <c r="AP50" s="36" t="s">
        <v>211</v>
      </c>
      <c r="AQ50" s="36" t="s">
        <v>72</v>
      </c>
      <c r="AR50" s="36">
        <v>1.06E-2</v>
      </c>
      <c r="AS50" s="36" t="s">
        <v>210</v>
      </c>
      <c r="AT50" s="36" t="s">
        <v>209</v>
      </c>
      <c r="AU50" s="36" t="s">
        <v>72</v>
      </c>
      <c r="AV50" s="36">
        <v>5.9700000000000003E-2</v>
      </c>
      <c r="AW50" s="36" t="s">
        <v>208</v>
      </c>
      <c r="AX50" s="36" t="s">
        <v>207</v>
      </c>
      <c r="AY50" s="36" t="s">
        <v>72</v>
      </c>
      <c r="AZ50" s="36">
        <v>7.3700000000000002E-2</v>
      </c>
      <c r="BA50" s="36" t="s">
        <v>206</v>
      </c>
      <c r="BB50" s="36" t="s">
        <v>92</v>
      </c>
      <c r="BC50" s="36" t="s">
        <v>72</v>
      </c>
      <c r="BD50" s="36">
        <v>3.0599999999999999E-2</v>
      </c>
      <c r="BE50" s="36" t="s">
        <v>205</v>
      </c>
      <c r="BF50" s="36" t="s">
        <v>204</v>
      </c>
      <c r="BG50" s="36" t="s">
        <v>72</v>
      </c>
      <c r="BH50" s="36">
        <v>-2.3E-3</v>
      </c>
      <c r="BI50" s="36" t="s">
        <v>203</v>
      </c>
      <c r="BJ50" s="36" t="s">
        <v>202</v>
      </c>
      <c r="BK50" s="36" t="s">
        <v>72</v>
      </c>
      <c r="BL50" s="36">
        <v>2.8899999999999999E-2</v>
      </c>
      <c r="BM50" s="36" t="s">
        <v>201</v>
      </c>
      <c r="BN50" s="36" t="s">
        <v>200</v>
      </c>
      <c r="BO50" s="36" t="s">
        <v>72</v>
      </c>
      <c r="BP50" s="36">
        <v>1.23E-2</v>
      </c>
      <c r="BQ50" s="36" t="s">
        <v>199</v>
      </c>
      <c r="BR50" s="36" t="s">
        <v>198</v>
      </c>
      <c r="BS50" s="36" t="s">
        <v>72</v>
      </c>
      <c r="BT50" s="36">
        <v>1.9400000000000001E-2</v>
      </c>
      <c r="BU50" s="36" t="s">
        <v>197</v>
      </c>
      <c r="BV50" s="36" t="s">
        <v>196</v>
      </c>
      <c r="BW50" s="36" t="s">
        <v>72</v>
      </c>
      <c r="BX50" s="36">
        <v>2.4E-2</v>
      </c>
      <c r="BY50" s="36" t="s">
        <v>195</v>
      </c>
      <c r="BZ50" s="36" t="s">
        <v>194</v>
      </c>
      <c r="CA50" s="36" t="s">
        <v>72</v>
      </c>
      <c r="CB50" s="36">
        <v>6.3E-3</v>
      </c>
      <c r="CC50" s="36" t="s">
        <v>193</v>
      </c>
      <c r="CD50" s="36" t="s">
        <v>192</v>
      </c>
      <c r="CE50" s="36" t="s">
        <v>72</v>
      </c>
      <c r="CF50" s="36">
        <v>2E-3</v>
      </c>
      <c r="CG50" s="36" t="s">
        <v>191</v>
      </c>
      <c r="CH50" s="36" t="s">
        <v>190</v>
      </c>
      <c r="CI50" s="36" t="s">
        <v>72</v>
      </c>
      <c r="CJ50" s="36">
        <v>2.8899999999999999E-2</v>
      </c>
      <c r="CK50" s="36" t="s">
        <v>189</v>
      </c>
      <c r="CL50" s="36" t="s">
        <v>188</v>
      </c>
    </row>
    <row r="51" spans="1:90" ht="15" thickBot="1" x14ac:dyDescent="0.35">
      <c r="A51" s="47"/>
      <c r="B51" s="43">
        <v>2018</v>
      </c>
      <c r="C51" s="42">
        <v>554173</v>
      </c>
      <c r="D51" s="42">
        <v>25</v>
      </c>
      <c r="E51" s="29">
        <f>(D51/C51)*100000</f>
        <v>4.5112266386128521</v>
      </c>
      <c r="F51" s="4">
        <f>LN(E51)</f>
        <v>1.5065690984882696</v>
      </c>
      <c r="G51" s="46"/>
      <c r="H51" s="3"/>
      <c r="I51" s="3"/>
      <c r="J51" s="3"/>
      <c r="K51" s="45"/>
      <c r="L51" s="42">
        <v>281915</v>
      </c>
      <c r="M51" s="42">
        <v>132</v>
      </c>
      <c r="N51" s="29">
        <f>(M51/L51)*100000</f>
        <v>46.822623840519306</v>
      </c>
      <c r="O51" s="4">
        <f>LN(N51)</f>
        <v>3.8463665015117332</v>
      </c>
      <c r="P51" s="46"/>
      <c r="Q51" s="3"/>
      <c r="R51" s="3"/>
      <c r="S51" s="3"/>
      <c r="T51" s="45"/>
      <c r="U51" s="42">
        <v>127789</v>
      </c>
      <c r="V51" s="42">
        <v>638</v>
      </c>
      <c r="W51" s="29">
        <f>(V51/U51)*100000</f>
        <v>499.26049973002375</v>
      </c>
      <c r="X51" s="4">
        <f>LN(W51)</f>
        <v>6.2131280030813336</v>
      </c>
      <c r="Y51" s="46"/>
      <c r="Z51" s="40"/>
      <c r="AA51" s="40"/>
      <c r="AB51" s="40"/>
      <c r="AC51" s="45"/>
      <c r="AE51" s="36" t="s">
        <v>55</v>
      </c>
      <c r="AF51" s="36" t="s">
        <v>187</v>
      </c>
      <c r="AG51" s="36"/>
      <c r="AH51" s="36"/>
      <c r="AI51" s="36" t="s">
        <v>55</v>
      </c>
      <c r="AJ51" s="36" t="s">
        <v>186</v>
      </c>
      <c r="AK51" s="36"/>
      <c r="AL51" s="36"/>
      <c r="AM51" s="36" t="s">
        <v>55</v>
      </c>
      <c r="AN51" s="36" t="s">
        <v>185</v>
      </c>
      <c r="AO51" s="36"/>
      <c r="AP51" s="36"/>
      <c r="AQ51" s="36" t="s">
        <v>55</v>
      </c>
      <c r="AR51" s="36" t="s">
        <v>184</v>
      </c>
      <c r="AS51" s="36"/>
      <c r="AT51" s="36"/>
      <c r="AU51" s="36" t="s">
        <v>55</v>
      </c>
      <c r="AV51" s="36" t="s">
        <v>183</v>
      </c>
      <c r="AW51" s="36"/>
      <c r="AX51" s="36"/>
      <c r="AY51" s="36" t="s">
        <v>55</v>
      </c>
      <c r="AZ51" s="36" t="s">
        <v>182</v>
      </c>
      <c r="BA51" s="36"/>
      <c r="BB51" s="36"/>
      <c r="BC51" s="36" t="s">
        <v>55</v>
      </c>
      <c r="BD51" s="36" t="s">
        <v>181</v>
      </c>
      <c r="BE51" s="36"/>
      <c r="BF51" s="36"/>
      <c r="BG51" s="36" t="s">
        <v>55</v>
      </c>
      <c r="BH51" s="36" t="s">
        <v>180</v>
      </c>
      <c r="BI51" s="36"/>
      <c r="BJ51" s="36"/>
      <c r="BK51" s="36" t="s">
        <v>55</v>
      </c>
      <c r="BL51" s="36" t="s">
        <v>179</v>
      </c>
      <c r="BM51" s="36"/>
      <c r="BN51" s="36"/>
      <c r="BO51" s="36" t="s">
        <v>55</v>
      </c>
      <c r="BP51" s="36" t="s">
        <v>178</v>
      </c>
      <c r="BQ51" s="36"/>
      <c r="BR51" s="36"/>
      <c r="BS51" s="36" t="s">
        <v>55</v>
      </c>
      <c r="BT51" s="36" t="s">
        <v>177</v>
      </c>
      <c r="BU51" s="36"/>
      <c r="BV51" s="36"/>
      <c r="BW51" s="36" t="s">
        <v>55</v>
      </c>
      <c r="BX51" s="36" t="s">
        <v>176</v>
      </c>
      <c r="BY51" s="36"/>
      <c r="BZ51" s="36"/>
      <c r="CA51" s="36" t="s">
        <v>55</v>
      </c>
      <c r="CB51" s="36" t="s">
        <v>175</v>
      </c>
      <c r="CC51" s="36"/>
      <c r="CD51" s="36"/>
      <c r="CE51" s="36" t="s">
        <v>55</v>
      </c>
      <c r="CF51" s="36" t="s">
        <v>174</v>
      </c>
      <c r="CG51" s="36"/>
      <c r="CH51" s="36"/>
      <c r="CI51" s="36" t="s">
        <v>55</v>
      </c>
      <c r="CJ51" s="36" t="s">
        <v>173</v>
      </c>
      <c r="CK51" s="36"/>
      <c r="CL51" s="36"/>
    </row>
    <row r="52" spans="1:90" ht="15" thickBot="1" x14ac:dyDescent="0.35">
      <c r="A52" s="47"/>
      <c r="B52" s="43">
        <v>2019</v>
      </c>
      <c r="C52" s="42">
        <v>581516</v>
      </c>
      <c r="D52" s="42">
        <v>23</v>
      </c>
      <c r="E52" s="29">
        <f>(D52/C52)*100000</f>
        <v>3.9551792212080152</v>
      </c>
      <c r="F52" s="4">
        <f>LN(E52)</f>
        <v>1.3750259152897626</v>
      </c>
      <c r="G52" s="46"/>
      <c r="H52" s="3"/>
      <c r="I52" s="3"/>
      <c r="J52" s="3"/>
      <c r="K52" s="45"/>
      <c r="L52" s="42">
        <v>296253</v>
      </c>
      <c r="M52" s="42">
        <v>164</v>
      </c>
      <c r="N52" s="29">
        <f>(M52/L52)*100000</f>
        <v>55.35808920078447</v>
      </c>
      <c r="O52" s="4">
        <f>LN(N52)</f>
        <v>4.0138227948319436</v>
      </c>
      <c r="P52" s="46"/>
      <c r="Q52" s="3"/>
      <c r="R52" s="3"/>
      <c r="S52" s="3"/>
      <c r="T52" s="45"/>
      <c r="U52" s="42">
        <v>135078</v>
      </c>
      <c r="V52" s="42">
        <v>718</v>
      </c>
      <c r="W52" s="29">
        <f>(V52/U52)*100000</f>
        <v>531.54473711485218</v>
      </c>
      <c r="X52" s="4">
        <f>LN(W52)</f>
        <v>6.2757873656694239</v>
      </c>
      <c r="Y52" s="46"/>
      <c r="Z52" s="40"/>
      <c r="AA52" s="40"/>
      <c r="AB52" s="40"/>
      <c r="AC52" s="45"/>
      <c r="AE52" s="36" t="s">
        <v>39</v>
      </c>
      <c r="AF52" s="36" t="s">
        <v>172</v>
      </c>
      <c r="AG52" s="36"/>
      <c r="AH52" s="36"/>
      <c r="AI52" s="36" t="s">
        <v>39</v>
      </c>
      <c r="AJ52" s="36" t="s">
        <v>171</v>
      </c>
      <c r="AK52" s="36"/>
      <c r="AL52" s="36"/>
      <c r="AM52" s="36" t="s">
        <v>39</v>
      </c>
      <c r="AN52" s="36" t="s">
        <v>170</v>
      </c>
      <c r="AO52" s="36"/>
      <c r="AP52" s="36"/>
      <c r="AQ52" s="36" t="s">
        <v>39</v>
      </c>
      <c r="AR52" s="36" t="s">
        <v>169</v>
      </c>
      <c r="AS52" s="36"/>
      <c r="AT52" s="36"/>
      <c r="AU52" s="36" t="s">
        <v>39</v>
      </c>
      <c r="AV52" s="36" t="s">
        <v>168</v>
      </c>
      <c r="AW52" s="36"/>
      <c r="AX52" s="36"/>
      <c r="AY52" s="36" t="s">
        <v>39</v>
      </c>
      <c r="AZ52" s="36" t="s">
        <v>167</v>
      </c>
      <c r="BA52" s="36"/>
      <c r="BB52" s="36"/>
      <c r="BC52" s="36" t="s">
        <v>39</v>
      </c>
      <c r="BD52" s="36" t="s">
        <v>166</v>
      </c>
      <c r="BE52" s="36"/>
      <c r="BF52" s="36"/>
      <c r="BG52" s="36" t="s">
        <v>39</v>
      </c>
      <c r="BH52" s="36" t="s">
        <v>165</v>
      </c>
      <c r="BI52" s="36"/>
      <c r="BJ52" s="36"/>
      <c r="BK52" s="36" t="s">
        <v>39</v>
      </c>
      <c r="BL52" s="36" t="s">
        <v>164</v>
      </c>
      <c r="BM52" s="36"/>
      <c r="BN52" s="36"/>
      <c r="BO52" s="36" t="s">
        <v>39</v>
      </c>
      <c r="BP52" s="36" t="s">
        <v>163</v>
      </c>
      <c r="BQ52" s="36"/>
      <c r="BR52" s="36"/>
      <c r="BS52" s="36" t="s">
        <v>39</v>
      </c>
      <c r="BT52" s="36" t="s">
        <v>162</v>
      </c>
      <c r="BU52" s="36"/>
      <c r="BV52" s="36"/>
      <c r="BW52" s="36" t="s">
        <v>39</v>
      </c>
      <c r="BX52" s="36" t="s">
        <v>161</v>
      </c>
      <c r="BY52" s="36"/>
      <c r="BZ52" s="36"/>
      <c r="CA52" s="36" t="s">
        <v>39</v>
      </c>
      <c r="CB52" s="36" t="s">
        <v>160</v>
      </c>
      <c r="CC52" s="36"/>
      <c r="CD52" s="36"/>
      <c r="CE52" s="36" t="s">
        <v>39</v>
      </c>
      <c r="CF52" s="36" t="s">
        <v>159</v>
      </c>
      <c r="CG52" s="36"/>
      <c r="CH52" s="36"/>
      <c r="CI52" s="36" t="s">
        <v>39</v>
      </c>
      <c r="CJ52" s="36" t="s">
        <v>158</v>
      </c>
      <c r="CK52" s="36"/>
      <c r="CL52" s="36"/>
    </row>
    <row r="53" spans="1:90" ht="15" thickBot="1" x14ac:dyDescent="0.35">
      <c r="A53" s="47"/>
      <c r="B53" s="43">
        <v>2020</v>
      </c>
      <c r="C53" s="42">
        <v>608709</v>
      </c>
      <c r="D53" s="42">
        <v>46</v>
      </c>
      <c r="E53" s="29">
        <f>(D53/C53)*100000</f>
        <v>7.5569771434297834</v>
      </c>
      <c r="F53" s="4">
        <f>LN(E53)</f>
        <v>2.0224712614779397</v>
      </c>
      <c r="G53" s="46"/>
      <c r="H53" s="3"/>
      <c r="I53" s="3"/>
      <c r="J53" s="3"/>
      <c r="K53" s="45"/>
      <c r="L53" s="42">
        <v>311448</v>
      </c>
      <c r="M53" s="42">
        <v>164</v>
      </c>
      <c r="N53" s="29">
        <f>(M53/L53)*100000</f>
        <v>52.657265418304185</v>
      </c>
      <c r="O53" s="4">
        <f>LN(N53)</f>
        <v>3.9638042237092508</v>
      </c>
      <c r="P53" s="46"/>
      <c r="Q53" s="3"/>
      <c r="R53" s="3"/>
      <c r="S53" s="3"/>
      <c r="T53" s="45"/>
      <c r="U53" s="42">
        <v>141796</v>
      </c>
      <c r="V53" s="42">
        <v>757</v>
      </c>
      <c r="W53" s="29">
        <f>(V53/U53)*100000</f>
        <v>533.86555333013621</v>
      </c>
      <c r="X53" s="4">
        <f>LN(W53)</f>
        <v>6.2801440344700978</v>
      </c>
      <c r="Y53" s="46"/>
      <c r="Z53" s="40"/>
      <c r="AA53" s="40"/>
      <c r="AB53" s="40"/>
      <c r="AC53" s="45"/>
      <c r="AE53" s="36" t="s">
        <v>37</v>
      </c>
      <c r="AF53" s="36" t="s">
        <v>36</v>
      </c>
      <c r="AG53" s="36"/>
      <c r="AH53" s="36"/>
      <c r="AI53" s="36" t="s">
        <v>37</v>
      </c>
      <c r="AJ53" s="36" t="s">
        <v>36</v>
      </c>
      <c r="AK53" s="36"/>
      <c r="AL53" s="36"/>
      <c r="AM53" s="36" t="s">
        <v>37</v>
      </c>
      <c r="AN53" s="36" t="s">
        <v>36</v>
      </c>
      <c r="AO53" s="36"/>
      <c r="AP53" s="36"/>
      <c r="AQ53" s="36" t="s">
        <v>37</v>
      </c>
      <c r="AR53" s="36" t="s">
        <v>36</v>
      </c>
      <c r="AS53" s="36"/>
      <c r="AT53" s="36"/>
      <c r="AU53" s="36" t="s">
        <v>37</v>
      </c>
      <c r="AV53" s="36" t="s">
        <v>36</v>
      </c>
      <c r="AW53" s="36"/>
      <c r="AX53" s="36"/>
      <c r="AY53" s="36" t="s">
        <v>37</v>
      </c>
      <c r="AZ53" s="36" t="s">
        <v>36</v>
      </c>
      <c r="BA53" s="36"/>
      <c r="BB53" s="36"/>
      <c r="BC53" s="36" t="s">
        <v>37</v>
      </c>
      <c r="BD53" s="36" t="s">
        <v>36</v>
      </c>
      <c r="BE53" s="36"/>
      <c r="BF53" s="36"/>
      <c r="BG53" s="36" t="s">
        <v>37</v>
      </c>
      <c r="BH53" s="36" t="s">
        <v>36</v>
      </c>
      <c r="BI53" s="36"/>
      <c r="BJ53" s="36"/>
      <c r="BK53" s="36" t="s">
        <v>37</v>
      </c>
      <c r="BL53" s="36" t="s">
        <v>36</v>
      </c>
      <c r="BM53" s="36"/>
      <c r="BN53" s="36"/>
      <c r="BO53" s="36" t="s">
        <v>37</v>
      </c>
      <c r="BP53" s="36" t="s">
        <v>36</v>
      </c>
      <c r="BQ53" s="36"/>
      <c r="BR53" s="36"/>
      <c r="BS53" s="36" t="s">
        <v>37</v>
      </c>
      <c r="BT53" s="36" t="s">
        <v>36</v>
      </c>
      <c r="BU53" s="36"/>
      <c r="BV53" s="36"/>
      <c r="BW53" s="36" t="s">
        <v>37</v>
      </c>
      <c r="BX53" s="36" t="s">
        <v>36</v>
      </c>
      <c r="BY53" s="36"/>
      <c r="BZ53" s="36"/>
      <c r="CA53" s="36" t="s">
        <v>37</v>
      </c>
      <c r="CB53" s="36" t="s">
        <v>36</v>
      </c>
      <c r="CC53" s="36"/>
      <c r="CD53" s="36"/>
      <c r="CE53" s="36" t="s">
        <v>37</v>
      </c>
      <c r="CF53" s="36" t="s">
        <v>36</v>
      </c>
      <c r="CG53" s="36"/>
      <c r="CH53" s="36"/>
      <c r="CI53" s="36" t="s">
        <v>37</v>
      </c>
      <c r="CJ53" s="36" t="s">
        <v>36</v>
      </c>
      <c r="CK53" s="36"/>
      <c r="CL53" s="36"/>
    </row>
    <row r="54" spans="1:90" ht="15" thickBot="1" x14ac:dyDescent="0.35">
      <c r="A54" s="44"/>
      <c r="B54" s="43">
        <v>2021</v>
      </c>
      <c r="C54" s="42">
        <v>634376</v>
      </c>
      <c r="D54" s="42">
        <v>30</v>
      </c>
      <c r="E54" s="29">
        <f>(D54/C54)*100000</f>
        <v>4.7290565847383883</v>
      </c>
      <c r="F54" s="4">
        <f>LN(E54)</f>
        <v>1.5537257290666571</v>
      </c>
      <c r="G54" s="41"/>
      <c r="H54" s="3"/>
      <c r="I54" s="3"/>
      <c r="J54" s="3"/>
      <c r="K54" s="39"/>
      <c r="L54" s="42">
        <v>326729</v>
      </c>
      <c r="M54" s="42">
        <v>161</v>
      </c>
      <c r="N54" s="29">
        <f>(M54/L54)*100000</f>
        <v>49.276311560957247</v>
      </c>
      <c r="O54" s="4">
        <f>LN(N54)</f>
        <v>3.8974434698526355</v>
      </c>
      <c r="P54" s="41"/>
      <c r="Q54" s="3"/>
      <c r="R54" s="3"/>
      <c r="S54" s="3"/>
      <c r="T54" s="39"/>
      <c r="U54" s="42">
        <v>147039</v>
      </c>
      <c r="V54" s="42">
        <v>704</v>
      </c>
      <c r="W54" s="29">
        <f>(V54/U54)*100000</f>
        <v>478.78454015601307</v>
      </c>
      <c r="X54" s="4">
        <f>LN(W54)</f>
        <v>6.171250684432394</v>
      </c>
      <c r="Y54" s="41"/>
      <c r="Z54" s="40"/>
      <c r="AA54" s="40"/>
      <c r="AB54" s="40"/>
      <c r="AC54" s="39"/>
    </row>
    <row r="55" spans="1:90" ht="15" thickBot="1" x14ac:dyDescent="0.35">
      <c r="A55" s="62" t="s">
        <v>5</v>
      </c>
      <c r="B55" s="55">
        <v>2016</v>
      </c>
      <c r="C55" s="54">
        <v>3678777</v>
      </c>
      <c r="D55" s="54">
        <v>182</v>
      </c>
      <c r="E55" s="29">
        <f>(D55/C55)*100000</f>
        <v>4.9472963433227948</v>
      </c>
      <c r="F55" s="4">
        <f>LN(E55)</f>
        <v>1.5988412340945966</v>
      </c>
      <c r="G55" s="61">
        <v>1.23E-2</v>
      </c>
      <c r="H55" s="3">
        <f>(EXP(G55)-1)*100</f>
        <v>1.2375956100545205</v>
      </c>
      <c r="I55" s="3">
        <f>(EXP(-0.051)-1)*100</f>
        <v>-4.9721329467573021</v>
      </c>
      <c r="J55" s="3">
        <f>(EXP(0.075)-1)*100</f>
        <v>7.788415088463152</v>
      </c>
      <c r="K55" s="60">
        <v>0.6169</v>
      </c>
      <c r="L55" s="54">
        <v>2016581</v>
      </c>
      <c r="M55" s="54">
        <v>991</v>
      </c>
      <c r="N55" s="29">
        <f>(M55/L55)*100000</f>
        <v>49.142583412220986</v>
      </c>
      <c r="O55" s="4">
        <f>LN(N55)</f>
        <v>3.8947259382024177</v>
      </c>
      <c r="P55" s="61">
        <v>1.9400000000000001E-2</v>
      </c>
      <c r="Q55" s="3">
        <f>(EXP(P55)-1)*100</f>
        <v>1.9589402822259183</v>
      </c>
      <c r="R55" s="3">
        <f>(EXP(-0.003)-1)*100</f>
        <v>-0.29955044966269995</v>
      </c>
      <c r="S55" s="3">
        <f>(EXP(0.042)-1)*100</f>
        <v>4.2894478750763243</v>
      </c>
      <c r="T55" s="60">
        <v>7.2999999999999995E-2</v>
      </c>
      <c r="U55" s="54">
        <v>1103729</v>
      </c>
      <c r="V55" s="54">
        <v>5267</v>
      </c>
      <c r="W55" s="29">
        <f>(V55/U55)*100000</f>
        <v>477.20047221736496</v>
      </c>
      <c r="X55" s="4">
        <f>LN(W55)</f>
        <v>6.1679366797818735</v>
      </c>
      <c r="Y55" s="61">
        <v>2.4E-2</v>
      </c>
      <c r="Z55" s="40">
        <f>(EXP(Y55) -1) * 100</f>
        <v>2.4290317890621527</v>
      </c>
      <c r="AA55" s="40">
        <f>(EXP(0.009) -1) * 100</f>
        <v>0.90406217738678851</v>
      </c>
      <c r="AB55" s="40">
        <f>(EXP(0.039) -1) * 100</f>
        <v>3.9770483650157784</v>
      </c>
      <c r="AC55" s="60">
        <v>1.14E-2</v>
      </c>
    </row>
    <row r="56" spans="1:90" ht="15" thickBot="1" x14ac:dyDescent="0.35">
      <c r="A56" s="59"/>
      <c r="B56" s="55">
        <v>2017</v>
      </c>
      <c r="C56" s="54">
        <v>3830560</v>
      </c>
      <c r="D56" s="54">
        <v>164</v>
      </c>
      <c r="E56" s="29">
        <f>(D56/C56)*100000</f>
        <v>4.2813583392506578</v>
      </c>
      <c r="F56" s="4">
        <f>LN(E56)</f>
        <v>1.4542703282266209</v>
      </c>
      <c r="G56" s="58"/>
      <c r="H56" s="3"/>
      <c r="I56" s="3"/>
      <c r="J56" s="3"/>
      <c r="K56" s="57"/>
      <c r="L56" s="54">
        <v>2089673</v>
      </c>
      <c r="M56" s="54">
        <v>1055</v>
      </c>
      <c r="N56" s="29">
        <f>(M56/L56)*100000</f>
        <v>50.486367962834379</v>
      </c>
      <c r="O56" s="4">
        <f>LN(N56)</f>
        <v>3.9217033585105829</v>
      </c>
      <c r="P56" s="58"/>
      <c r="Q56" s="3"/>
      <c r="R56" s="3"/>
      <c r="S56" s="3"/>
      <c r="T56" s="57"/>
      <c r="U56" s="54">
        <v>1143435</v>
      </c>
      <c r="V56" s="54">
        <v>5639</v>
      </c>
      <c r="W56" s="29">
        <f>(V56/U56)*100000</f>
        <v>493.16314438512029</v>
      </c>
      <c r="X56" s="4">
        <f>LN(W56)</f>
        <v>6.200840040973862</v>
      </c>
      <c r="Y56" s="58"/>
      <c r="Z56" s="40"/>
      <c r="AA56" s="40"/>
      <c r="AB56" s="40"/>
      <c r="AC56" s="57"/>
    </row>
    <row r="57" spans="1:90" ht="15" thickBot="1" x14ac:dyDescent="0.35">
      <c r="A57" s="59"/>
      <c r="B57" s="55">
        <v>2018</v>
      </c>
      <c r="C57" s="54">
        <v>3981249</v>
      </c>
      <c r="D57" s="54">
        <v>181</v>
      </c>
      <c r="E57" s="29">
        <f>(D57/C57)*100000</f>
        <v>4.5463119739559117</v>
      </c>
      <c r="F57" s="4">
        <f>LN(E57)</f>
        <v>1.5143163491108691</v>
      </c>
      <c r="G57" s="58"/>
      <c r="H57" s="3"/>
      <c r="I57" s="3"/>
      <c r="J57" s="3"/>
      <c r="K57" s="57"/>
      <c r="L57" s="54">
        <v>2171041</v>
      </c>
      <c r="M57" s="54">
        <v>1037</v>
      </c>
      <c r="N57" s="29">
        <f>(M57/L57)*100000</f>
        <v>47.765104390013825</v>
      </c>
      <c r="O57" s="4">
        <f>LN(N57)</f>
        <v>3.8662953392113417</v>
      </c>
      <c r="P57" s="58"/>
      <c r="Q57" s="3"/>
      <c r="R57" s="3"/>
      <c r="S57" s="3"/>
      <c r="T57" s="57"/>
      <c r="U57" s="54">
        <v>1183977</v>
      </c>
      <c r="V57" s="54">
        <v>5703</v>
      </c>
      <c r="W57" s="29">
        <f>(V57/U57)*100000</f>
        <v>481.68165428889245</v>
      </c>
      <c r="X57" s="4">
        <f>LN(W57)</f>
        <v>6.1772834275650359</v>
      </c>
      <c r="Y57" s="58"/>
      <c r="Z57" s="40"/>
      <c r="AA57" s="40"/>
      <c r="AB57" s="40"/>
      <c r="AC57" s="57"/>
    </row>
    <row r="58" spans="1:90" ht="15" thickBot="1" x14ac:dyDescent="0.35">
      <c r="A58" s="59"/>
      <c r="B58" s="55">
        <v>2019</v>
      </c>
      <c r="C58" s="54">
        <v>4128665</v>
      </c>
      <c r="D58" s="54">
        <v>229</v>
      </c>
      <c r="E58" s="29">
        <f>(D58/C58)*100000</f>
        <v>5.5465870929222882</v>
      </c>
      <c r="F58" s="4">
        <f>LN(E58)</f>
        <v>1.7131828003940919</v>
      </c>
      <c r="G58" s="58"/>
      <c r="H58" s="3"/>
      <c r="I58" s="3"/>
      <c r="J58" s="3"/>
      <c r="K58" s="57"/>
      <c r="L58" s="54">
        <v>2261509</v>
      </c>
      <c r="M58" s="54">
        <v>1208</v>
      </c>
      <c r="N58" s="29">
        <f>(M58/L58)*100000</f>
        <v>53.415661843485921</v>
      </c>
      <c r="O58" s="4">
        <f>LN(N58)</f>
        <v>3.9781039959133544</v>
      </c>
      <c r="P58" s="58"/>
      <c r="Q58" s="3"/>
      <c r="R58" s="3"/>
      <c r="S58" s="3"/>
      <c r="T58" s="57"/>
      <c r="U58" s="54">
        <v>1223776</v>
      </c>
      <c r="V58" s="54">
        <v>6349</v>
      </c>
      <c r="W58" s="29">
        <f>(V58/U58)*100000</f>
        <v>518.80409486703445</v>
      </c>
      <c r="X58" s="4">
        <f>LN(W58)</f>
        <v>6.2515263453699568</v>
      </c>
      <c r="Y58" s="58"/>
      <c r="Z58" s="40"/>
      <c r="AA58" s="40"/>
      <c r="AB58" s="40"/>
      <c r="AC58" s="57"/>
    </row>
    <row r="59" spans="1:90" ht="15" thickBot="1" x14ac:dyDescent="0.35">
      <c r="A59" s="59"/>
      <c r="B59" s="55">
        <v>2020</v>
      </c>
      <c r="C59" s="54">
        <v>4267384</v>
      </c>
      <c r="D59" s="54">
        <v>203</v>
      </c>
      <c r="E59" s="29">
        <f>(D59/C59)*100000</f>
        <v>4.7570127272352343</v>
      </c>
      <c r="F59" s="4">
        <f>LN(E59)</f>
        <v>1.559619892921704</v>
      </c>
      <c r="G59" s="58"/>
      <c r="H59" s="3"/>
      <c r="I59" s="3"/>
      <c r="J59" s="3"/>
      <c r="K59" s="57"/>
      <c r="L59" s="54">
        <v>2357719</v>
      </c>
      <c r="M59" s="54">
        <v>1235</v>
      </c>
      <c r="N59" s="29">
        <f>(M59/L59)*100000</f>
        <v>52.381136174412639</v>
      </c>
      <c r="O59" s="4">
        <f>LN(N59)</f>
        <v>3.9585465298411244</v>
      </c>
      <c r="P59" s="58"/>
      <c r="Q59" s="3"/>
      <c r="R59" s="3"/>
      <c r="S59" s="3"/>
      <c r="T59" s="57"/>
      <c r="U59" s="54">
        <v>1258692</v>
      </c>
      <c r="V59" s="54">
        <v>6463</v>
      </c>
      <c r="W59" s="29">
        <f>(V59/U59)*100000</f>
        <v>513.46953821904003</v>
      </c>
      <c r="X59" s="4">
        <f>LN(W59)</f>
        <v>6.2411907057376084</v>
      </c>
      <c r="Y59" s="58"/>
      <c r="Z59" s="40"/>
      <c r="AA59" s="40"/>
      <c r="AB59" s="40"/>
      <c r="AC59" s="57"/>
    </row>
    <row r="60" spans="1:90" ht="15" thickBot="1" x14ac:dyDescent="0.35">
      <c r="A60" s="56"/>
      <c r="B60" s="55">
        <v>2021</v>
      </c>
      <c r="C60" s="54">
        <v>4389802</v>
      </c>
      <c r="D60" s="54">
        <v>214</v>
      </c>
      <c r="E60" s="29">
        <f>(D60/C60)*100000</f>
        <v>4.8749351337486289</v>
      </c>
      <c r="F60" s="4">
        <f>LN(E60)</f>
        <v>1.5841067984635691</v>
      </c>
      <c r="G60" s="53"/>
      <c r="H60" s="3"/>
      <c r="I60" s="3"/>
      <c r="J60" s="3"/>
      <c r="K60" s="52"/>
      <c r="L60" s="54">
        <v>2453622</v>
      </c>
      <c r="M60" s="54">
        <v>1308</v>
      </c>
      <c r="N60" s="29">
        <f>(M60/L60)*100000</f>
        <v>53.308944898602959</v>
      </c>
      <c r="O60" s="4">
        <f>LN(N60)</f>
        <v>3.9761041388286977</v>
      </c>
      <c r="P60" s="53"/>
      <c r="Q60" s="3"/>
      <c r="R60" s="3"/>
      <c r="S60" s="3"/>
      <c r="T60" s="52"/>
      <c r="U60" s="54">
        <v>1282405</v>
      </c>
      <c r="V60" s="54">
        <v>6975</v>
      </c>
      <c r="W60" s="29">
        <f>(V60/U60)*100000</f>
        <v>543.89993800710386</v>
      </c>
      <c r="X60" s="4">
        <f>LN(W60)</f>
        <v>6.2987652924504269</v>
      </c>
      <c r="Y60" s="53"/>
      <c r="Z60" s="40"/>
      <c r="AA60" s="40"/>
      <c r="AB60" s="40"/>
      <c r="AC60" s="52"/>
    </row>
    <row r="61" spans="1:90" ht="15" thickBot="1" x14ac:dyDescent="0.35">
      <c r="A61" s="51" t="s">
        <v>1</v>
      </c>
      <c r="B61" s="50">
        <v>2016</v>
      </c>
      <c r="C61" s="42">
        <v>1276841</v>
      </c>
      <c r="D61" s="42">
        <v>89</v>
      </c>
      <c r="E61" s="29">
        <f>(D61/C61)*100000</f>
        <v>6.9703275505720752</v>
      </c>
      <c r="F61" s="4">
        <f>LN(E61)</f>
        <v>1.9416622180114289</v>
      </c>
      <c r="G61" s="49">
        <v>6.3E-3</v>
      </c>
      <c r="H61" s="3">
        <f>(EXP(G61)-1)*100</f>
        <v>0.63198867402201042</v>
      </c>
      <c r="I61" s="3">
        <f>(EXP(0.079)-1)*100</f>
        <v>8.2204322070314806</v>
      </c>
      <c r="J61" s="3">
        <f>(EXP(0.092)-1)*100</f>
        <v>9.6364822080816879</v>
      </c>
      <c r="K61" s="48">
        <v>0.84789999999999999</v>
      </c>
      <c r="L61" s="42">
        <v>693133</v>
      </c>
      <c r="M61" s="42">
        <v>441</v>
      </c>
      <c r="N61" s="29">
        <f>(M61/L61)*100000</f>
        <v>63.624152940344779</v>
      </c>
      <c r="O61" s="4">
        <f>LN(N61)</f>
        <v>4.1529931614672471</v>
      </c>
      <c r="P61" s="49">
        <v>2E-3</v>
      </c>
      <c r="Q61" s="3">
        <f>(EXP(P61)-1)*100</f>
        <v>0.20020013340003029</v>
      </c>
      <c r="R61" s="3">
        <f>(EXP(-0.027)-1)*100</f>
        <v>-2.6638758475663216</v>
      </c>
      <c r="S61" s="3">
        <f>(EXP(0.031)-1)*100</f>
        <v>3.1485503886522714</v>
      </c>
      <c r="T61" s="48">
        <v>0.85909999999999997</v>
      </c>
      <c r="U61" s="42">
        <v>349308</v>
      </c>
      <c r="V61" s="42">
        <v>1888</v>
      </c>
      <c r="W61" s="29">
        <f>(V61/U61)*100000</f>
        <v>540.49721162985099</v>
      </c>
      <c r="X61" s="4">
        <f>LN(W61)</f>
        <v>6.2924894781942653</v>
      </c>
      <c r="Y61" s="49">
        <v>2.8899999999999999E-2</v>
      </c>
      <c r="Z61" s="40">
        <f>(EXP(Y61) -1) * 100</f>
        <v>2.9321657162634684</v>
      </c>
      <c r="AA61" s="40">
        <f>(EXP(0) -1) * 100</f>
        <v>0</v>
      </c>
      <c r="AB61" s="40">
        <f>(EXP(0.057) -1) * 100</f>
        <v>5.8655810395500163</v>
      </c>
      <c r="AC61" s="48">
        <v>4.7600000000000003E-2</v>
      </c>
    </row>
    <row r="62" spans="1:90" ht="15" thickBot="1" x14ac:dyDescent="0.35">
      <c r="A62" s="47"/>
      <c r="B62" s="43">
        <v>2017</v>
      </c>
      <c r="C62" s="42">
        <v>1328737</v>
      </c>
      <c r="D62" s="42">
        <v>65</v>
      </c>
      <c r="E62" s="29">
        <f>(D62/C62)*100000</f>
        <v>4.8918634763689131</v>
      </c>
      <c r="F62" s="4">
        <f>LN(E62)</f>
        <v>1.5875733099066633</v>
      </c>
      <c r="G62" s="46"/>
      <c r="H62" s="3"/>
      <c r="I62" s="3"/>
      <c r="J62" s="3"/>
      <c r="K62" s="45"/>
      <c r="L62" s="42">
        <v>722386</v>
      </c>
      <c r="M62" s="42">
        <v>462</v>
      </c>
      <c r="N62" s="29">
        <f>(M62/L62)*100000</f>
        <v>63.954727804802417</v>
      </c>
      <c r="O62" s="4">
        <f>LN(N62)</f>
        <v>4.1581754549998076</v>
      </c>
      <c r="P62" s="46"/>
      <c r="Q62" s="3"/>
      <c r="R62" s="3"/>
      <c r="S62" s="3"/>
      <c r="T62" s="45"/>
      <c r="U62" s="42">
        <v>362590</v>
      </c>
      <c r="V62" s="42">
        <v>2084</v>
      </c>
      <c r="W62" s="29">
        <f>(V62/U62)*100000</f>
        <v>574.75385421550504</v>
      </c>
      <c r="X62" s="4">
        <f>LN(W62)</f>
        <v>6.3539418695199021</v>
      </c>
      <c r="Y62" s="46"/>
      <c r="Z62" s="40"/>
      <c r="AA62" s="40"/>
      <c r="AB62" s="40"/>
      <c r="AC62" s="45"/>
    </row>
    <row r="63" spans="1:90" ht="15" thickBot="1" x14ac:dyDescent="0.35">
      <c r="A63" s="47"/>
      <c r="B63" s="43">
        <v>2018</v>
      </c>
      <c r="C63" s="42">
        <v>1380682</v>
      </c>
      <c r="D63" s="42">
        <v>84</v>
      </c>
      <c r="E63" s="29">
        <f>(D63/C63)*100000</f>
        <v>6.083949816105374</v>
      </c>
      <c r="F63" s="4">
        <f>LN(E63)</f>
        <v>1.805654125859637</v>
      </c>
      <c r="G63" s="46"/>
      <c r="H63" s="3"/>
      <c r="I63" s="3"/>
      <c r="J63" s="3"/>
      <c r="K63" s="45"/>
      <c r="L63" s="42">
        <v>754499</v>
      </c>
      <c r="M63" s="42">
        <v>523</v>
      </c>
      <c r="N63" s="29">
        <f>(M63/L63)*100000</f>
        <v>69.317520632896802</v>
      </c>
      <c r="O63" s="4">
        <f>LN(N63)</f>
        <v>4.2386976972270363</v>
      </c>
      <c r="P63" s="46"/>
      <c r="Q63" s="3"/>
      <c r="R63" s="3"/>
      <c r="S63" s="3"/>
      <c r="T63" s="45"/>
      <c r="U63" s="42">
        <v>376484</v>
      </c>
      <c r="V63" s="42">
        <v>2310</v>
      </c>
      <c r="W63" s="29">
        <f>(V63/U63)*100000</f>
        <v>613.57189150136526</v>
      </c>
      <c r="X63" s="4">
        <f>LN(W63)</f>
        <v>6.4192974398469387</v>
      </c>
      <c r="Y63" s="46"/>
      <c r="Z63" s="40"/>
      <c r="AA63" s="40"/>
      <c r="AB63" s="40"/>
      <c r="AC63" s="45"/>
    </row>
    <row r="64" spans="1:90" ht="15" thickBot="1" x14ac:dyDescent="0.35">
      <c r="A64" s="47"/>
      <c r="B64" s="43">
        <v>2019</v>
      </c>
      <c r="C64" s="42">
        <v>1432792</v>
      </c>
      <c r="D64" s="42">
        <v>86</v>
      </c>
      <c r="E64" s="29">
        <f>(D64/C64)*100000</f>
        <v>6.0022669026627735</v>
      </c>
      <c r="F64" s="4">
        <f>LN(E64)</f>
        <v>1.792137214983605</v>
      </c>
      <c r="G64" s="46"/>
      <c r="H64" s="3"/>
      <c r="I64" s="3"/>
      <c r="J64" s="3"/>
      <c r="K64" s="45"/>
      <c r="L64" s="42">
        <v>789532</v>
      </c>
      <c r="M64" s="42">
        <v>525</v>
      </c>
      <c r="N64" s="29">
        <f>(M64/L64)*100000</f>
        <v>66.495088229482775</v>
      </c>
      <c r="O64" s="4">
        <f>LN(N64)</f>
        <v>4.1971280837231495</v>
      </c>
      <c r="P64" s="46"/>
      <c r="Q64" s="3"/>
      <c r="R64" s="3"/>
      <c r="S64" s="3"/>
      <c r="T64" s="45"/>
      <c r="U64" s="42">
        <v>391098</v>
      </c>
      <c r="V64" s="42">
        <v>2404</v>
      </c>
      <c r="W64" s="29">
        <f>(V64/U64)*100000</f>
        <v>614.67969664892166</v>
      </c>
      <c r="X64" s="4">
        <f>LN(W64)</f>
        <v>6.4211013136764379</v>
      </c>
      <c r="Y64" s="46"/>
      <c r="Z64" s="40"/>
      <c r="AA64" s="40"/>
      <c r="AB64" s="40"/>
      <c r="AC64" s="45"/>
    </row>
    <row r="65" spans="1:90" ht="15" thickBot="1" x14ac:dyDescent="0.35">
      <c r="A65" s="47"/>
      <c r="B65" s="43">
        <v>2020</v>
      </c>
      <c r="C65" s="42">
        <v>1484463</v>
      </c>
      <c r="D65" s="42">
        <v>92</v>
      </c>
      <c r="E65" s="29">
        <f>(D65/C65)*100000</f>
        <v>6.1975273213276454</v>
      </c>
      <c r="F65" s="4">
        <f>LN(E65)</f>
        <v>1.8241503933608387</v>
      </c>
      <c r="G65" s="46"/>
      <c r="H65" s="3"/>
      <c r="I65" s="3"/>
      <c r="J65" s="3"/>
      <c r="K65" s="45"/>
      <c r="L65" s="42">
        <v>826962</v>
      </c>
      <c r="M65" s="42">
        <v>514</v>
      </c>
      <c r="N65" s="29">
        <f>(M65/L65)*100000</f>
        <v>62.155213903419991</v>
      </c>
      <c r="O65" s="4">
        <f>LN(N65)</f>
        <v>4.1296347066892896</v>
      </c>
      <c r="P65" s="46"/>
      <c r="Q65" s="3"/>
      <c r="R65" s="3"/>
      <c r="S65" s="3"/>
      <c r="T65" s="45"/>
      <c r="U65" s="42">
        <v>405914</v>
      </c>
      <c r="V65" s="42">
        <v>2363</v>
      </c>
      <c r="W65" s="29">
        <f>(V65/U65)*100000</f>
        <v>582.14301551560186</v>
      </c>
      <c r="X65" s="4">
        <f>LN(W65)</f>
        <v>6.3667161486709531</v>
      </c>
      <c r="Y65" s="46"/>
      <c r="Z65" s="40"/>
      <c r="AA65" s="40"/>
      <c r="AB65" s="40"/>
      <c r="AC65" s="45"/>
    </row>
    <row r="66" spans="1:90" ht="15" thickBot="1" x14ac:dyDescent="0.35">
      <c r="A66" s="44"/>
      <c r="B66" s="43">
        <v>2021</v>
      </c>
      <c r="C66" s="42">
        <v>1532409</v>
      </c>
      <c r="D66" s="42">
        <v>97</v>
      </c>
      <c r="E66" s="29">
        <f>(D66/C66)*100000</f>
        <v>6.3299027870496714</v>
      </c>
      <c r="F66" s="4">
        <f>LN(E66)</f>
        <v>1.8452848785420548</v>
      </c>
      <c r="G66" s="41"/>
      <c r="H66" s="3"/>
      <c r="I66" s="3"/>
      <c r="J66" s="3"/>
      <c r="K66" s="39"/>
      <c r="L66" s="42">
        <v>864098</v>
      </c>
      <c r="M66" s="42">
        <v>572</v>
      </c>
      <c r="N66" s="29">
        <f>(M66/L66)*100000</f>
        <v>66.19619533895461</v>
      </c>
      <c r="O66" s="4">
        <f>LN(N66)</f>
        <v>4.1926229890701414</v>
      </c>
      <c r="P66" s="41"/>
      <c r="Q66" s="3"/>
      <c r="R66" s="3"/>
      <c r="S66" s="3"/>
      <c r="T66" s="39"/>
      <c r="U66" s="42">
        <v>417241</v>
      </c>
      <c r="V66" s="42">
        <v>2732</v>
      </c>
      <c r="W66" s="29">
        <f>(V66/U66)*100000</f>
        <v>654.77745475636391</v>
      </c>
      <c r="X66" s="4">
        <f>LN(W66)</f>
        <v>6.4842954141717364</v>
      </c>
      <c r="Y66" s="41"/>
      <c r="Z66" s="40"/>
      <c r="AA66" s="40"/>
      <c r="AB66" s="40"/>
      <c r="AC66" s="39"/>
    </row>
    <row r="67" spans="1:90" x14ac:dyDescent="0.3">
      <c r="G67" s="38"/>
      <c r="H67" s="38"/>
      <c r="I67" s="38"/>
      <c r="J67" s="38"/>
      <c r="K67" s="38"/>
    </row>
    <row r="68" spans="1:90" x14ac:dyDescent="0.3">
      <c r="G68" s="38"/>
      <c r="H68" s="38"/>
      <c r="I68" s="36"/>
      <c r="J68" s="38"/>
      <c r="K68" s="38"/>
      <c r="N68" s="36"/>
      <c r="AA68" s="36"/>
    </row>
    <row r="69" spans="1:90" ht="15" thickBot="1" x14ac:dyDescent="0.35">
      <c r="G69" s="38"/>
      <c r="H69" s="38"/>
      <c r="I69" s="38"/>
      <c r="J69" s="38"/>
      <c r="K69" s="38"/>
    </row>
    <row r="70" spans="1:90" ht="15" thickBot="1" x14ac:dyDescent="0.35">
      <c r="A70" s="27" t="s">
        <v>157</v>
      </c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5"/>
    </row>
    <row r="71" spans="1:90" ht="15" thickBot="1" x14ac:dyDescent="0.35">
      <c r="A71" s="27" t="s">
        <v>34</v>
      </c>
      <c r="B71" s="25"/>
      <c r="C71" s="27" t="s">
        <v>33</v>
      </c>
      <c r="D71" s="26"/>
      <c r="E71" s="26"/>
      <c r="F71" s="26"/>
      <c r="G71" s="26"/>
      <c r="H71" s="26"/>
      <c r="I71" s="26"/>
      <c r="J71" s="26"/>
      <c r="K71" s="25"/>
      <c r="L71" s="27" t="s">
        <v>32</v>
      </c>
      <c r="M71" s="26"/>
      <c r="N71" s="26"/>
      <c r="O71" s="26"/>
      <c r="P71" s="26"/>
      <c r="Q71" s="26"/>
      <c r="R71" s="26"/>
      <c r="S71" s="26"/>
      <c r="T71" s="25"/>
      <c r="U71" s="27" t="s">
        <v>31</v>
      </c>
      <c r="V71" s="26"/>
      <c r="W71" s="26"/>
      <c r="X71" s="26"/>
      <c r="Y71" s="26"/>
      <c r="Z71" s="26"/>
      <c r="AA71" s="26"/>
      <c r="AB71" s="26"/>
      <c r="AC71" s="25"/>
      <c r="AE71" s="37" t="s">
        <v>156</v>
      </c>
      <c r="AF71" s="37"/>
      <c r="AG71" s="37"/>
      <c r="AH71" s="37"/>
      <c r="AI71" s="37" t="s">
        <v>155</v>
      </c>
      <c r="AJ71" s="37"/>
      <c r="AK71" s="37"/>
      <c r="AL71" s="37"/>
      <c r="AM71" s="37" t="s">
        <v>154</v>
      </c>
      <c r="AN71" s="37"/>
      <c r="AO71" s="37"/>
      <c r="AP71" s="37"/>
      <c r="AQ71" s="37" t="s">
        <v>153</v>
      </c>
      <c r="AR71" s="37"/>
      <c r="AS71" s="37"/>
      <c r="AT71" s="37"/>
      <c r="AU71" s="37" t="s">
        <v>152</v>
      </c>
      <c r="AV71" s="37"/>
      <c r="AW71" s="37"/>
      <c r="AX71" s="37"/>
      <c r="AY71" s="37" t="s">
        <v>151</v>
      </c>
      <c r="AZ71" s="37"/>
      <c r="BA71" s="37"/>
      <c r="BB71" s="37"/>
      <c r="BC71" s="37" t="s">
        <v>150</v>
      </c>
      <c r="BD71" s="37"/>
      <c r="BE71" s="37"/>
      <c r="BF71" s="37"/>
      <c r="BG71" s="37" t="s">
        <v>149</v>
      </c>
      <c r="BH71" s="37"/>
      <c r="BI71" s="37"/>
      <c r="BJ71" s="37"/>
      <c r="BK71" s="37" t="s">
        <v>148</v>
      </c>
      <c r="BL71" s="37"/>
      <c r="BM71" s="37"/>
      <c r="BN71" s="37"/>
      <c r="BO71" s="37" t="s">
        <v>147</v>
      </c>
      <c r="BP71" s="37"/>
      <c r="BQ71" s="37"/>
      <c r="BR71" s="37"/>
      <c r="BS71" s="37" t="s">
        <v>146</v>
      </c>
      <c r="BT71" s="37"/>
      <c r="BU71" s="37"/>
      <c r="BV71" s="37"/>
      <c r="BW71" s="37" t="s">
        <v>145</v>
      </c>
      <c r="BX71" s="37"/>
      <c r="BY71" s="37"/>
      <c r="BZ71" s="37"/>
      <c r="CA71" s="37" t="s">
        <v>144</v>
      </c>
      <c r="CB71" s="37"/>
      <c r="CC71" s="37"/>
      <c r="CD71" s="37"/>
      <c r="CE71" s="37" t="s">
        <v>143</v>
      </c>
      <c r="CF71" s="37"/>
      <c r="CG71" s="37"/>
      <c r="CH71" s="37"/>
      <c r="CI71" s="37" t="s">
        <v>142</v>
      </c>
      <c r="CJ71" s="37"/>
      <c r="CK71" s="37"/>
      <c r="CL71" s="37"/>
    </row>
    <row r="72" spans="1:90" ht="19.8" thickBot="1" x14ac:dyDescent="0.35">
      <c r="A72" s="24" t="s">
        <v>30</v>
      </c>
      <c r="B72" s="20" t="s">
        <v>29</v>
      </c>
      <c r="C72" s="20" t="s">
        <v>26</v>
      </c>
      <c r="D72" s="20" t="s">
        <v>25</v>
      </c>
      <c r="E72" s="20" t="s">
        <v>24</v>
      </c>
      <c r="F72" s="22" t="s">
        <v>23</v>
      </c>
      <c r="G72" s="20" t="s">
        <v>22</v>
      </c>
      <c r="H72" s="21" t="s">
        <v>21</v>
      </c>
      <c r="I72" s="20" t="s">
        <v>20</v>
      </c>
      <c r="J72" s="20" t="s">
        <v>19</v>
      </c>
      <c r="K72" s="20" t="s">
        <v>18</v>
      </c>
      <c r="L72" s="20" t="s">
        <v>28</v>
      </c>
      <c r="M72" s="23" t="s">
        <v>27</v>
      </c>
      <c r="N72" s="20" t="s">
        <v>24</v>
      </c>
      <c r="O72" s="22" t="s">
        <v>23</v>
      </c>
      <c r="P72" s="20" t="s">
        <v>22</v>
      </c>
      <c r="Q72" s="21" t="s">
        <v>21</v>
      </c>
      <c r="R72" s="20" t="s">
        <v>20</v>
      </c>
      <c r="S72" s="20" t="s">
        <v>19</v>
      </c>
      <c r="T72" s="20" t="s">
        <v>18</v>
      </c>
      <c r="U72" s="20" t="s">
        <v>26</v>
      </c>
      <c r="V72" s="20" t="s">
        <v>25</v>
      </c>
      <c r="W72" s="20" t="s">
        <v>24</v>
      </c>
      <c r="X72" s="22" t="s">
        <v>23</v>
      </c>
      <c r="Y72" s="20" t="s">
        <v>22</v>
      </c>
      <c r="Z72" s="21" t="s">
        <v>21</v>
      </c>
      <c r="AA72" s="20" t="s">
        <v>20</v>
      </c>
      <c r="AB72" s="20" t="s">
        <v>19</v>
      </c>
      <c r="AC72" s="20" t="s">
        <v>18</v>
      </c>
      <c r="AE72" s="36" t="s">
        <v>141</v>
      </c>
      <c r="AF72" s="36" t="s">
        <v>140</v>
      </c>
      <c r="AG72" s="36" t="s">
        <v>139</v>
      </c>
      <c r="AH72" s="36" t="s">
        <v>138</v>
      </c>
      <c r="AI72" s="36" t="s">
        <v>141</v>
      </c>
      <c r="AJ72" s="36" t="s">
        <v>140</v>
      </c>
      <c r="AK72" s="36" t="s">
        <v>139</v>
      </c>
      <c r="AL72" s="36" t="s">
        <v>138</v>
      </c>
      <c r="AM72" s="36" t="s">
        <v>141</v>
      </c>
      <c r="AN72" s="36" t="s">
        <v>140</v>
      </c>
      <c r="AO72" s="36" t="s">
        <v>139</v>
      </c>
      <c r="AP72" s="36" t="s">
        <v>138</v>
      </c>
      <c r="AQ72" s="36" t="s">
        <v>141</v>
      </c>
      <c r="AR72" s="36" t="s">
        <v>140</v>
      </c>
      <c r="AS72" s="36" t="s">
        <v>139</v>
      </c>
      <c r="AT72" s="36" t="s">
        <v>138</v>
      </c>
      <c r="AU72" s="36" t="s">
        <v>141</v>
      </c>
      <c r="AV72" s="36" t="s">
        <v>140</v>
      </c>
      <c r="AW72" s="36" t="s">
        <v>139</v>
      </c>
      <c r="AX72" s="36" t="s">
        <v>138</v>
      </c>
      <c r="AY72" s="36" t="s">
        <v>141</v>
      </c>
      <c r="AZ72" s="36" t="s">
        <v>140</v>
      </c>
      <c r="BA72" s="36" t="s">
        <v>139</v>
      </c>
      <c r="BB72" s="36" t="s">
        <v>138</v>
      </c>
      <c r="BC72" s="36" t="s">
        <v>141</v>
      </c>
      <c r="BD72" s="36" t="s">
        <v>140</v>
      </c>
      <c r="BE72" s="36" t="s">
        <v>139</v>
      </c>
      <c r="BF72" s="36" t="s">
        <v>138</v>
      </c>
      <c r="BG72" s="36" t="s">
        <v>141</v>
      </c>
      <c r="BH72" s="36" t="s">
        <v>140</v>
      </c>
      <c r="BI72" s="36" t="s">
        <v>139</v>
      </c>
      <c r="BJ72" s="36" t="s">
        <v>138</v>
      </c>
      <c r="BK72" s="36" t="s">
        <v>141</v>
      </c>
      <c r="BL72" s="36" t="s">
        <v>140</v>
      </c>
      <c r="BM72" s="36" t="s">
        <v>139</v>
      </c>
      <c r="BN72" s="36" t="s">
        <v>138</v>
      </c>
      <c r="BO72" s="36" t="s">
        <v>141</v>
      </c>
      <c r="BP72" s="36" t="s">
        <v>140</v>
      </c>
      <c r="BQ72" s="36" t="s">
        <v>139</v>
      </c>
      <c r="BR72" s="36" t="s">
        <v>138</v>
      </c>
      <c r="BS72" s="36" t="s">
        <v>141</v>
      </c>
      <c r="BT72" s="36" t="s">
        <v>140</v>
      </c>
      <c r="BU72" s="36" t="s">
        <v>139</v>
      </c>
      <c r="BV72" s="36" t="s">
        <v>138</v>
      </c>
      <c r="BW72" s="36" t="s">
        <v>141</v>
      </c>
      <c r="BX72" s="36" t="s">
        <v>140</v>
      </c>
      <c r="BY72" s="36" t="s">
        <v>139</v>
      </c>
      <c r="BZ72" s="36" t="s">
        <v>138</v>
      </c>
      <c r="CA72" s="36" t="s">
        <v>141</v>
      </c>
      <c r="CB72" s="36" t="s">
        <v>140</v>
      </c>
      <c r="CC72" s="36" t="s">
        <v>139</v>
      </c>
      <c r="CD72" s="36" t="s">
        <v>138</v>
      </c>
      <c r="CE72" s="36" t="s">
        <v>141</v>
      </c>
      <c r="CF72" s="36" t="s">
        <v>140</v>
      </c>
      <c r="CG72" s="36" t="s">
        <v>139</v>
      </c>
      <c r="CH72" s="36" t="s">
        <v>138</v>
      </c>
      <c r="CI72" s="36" t="s">
        <v>141</v>
      </c>
      <c r="CJ72" s="36" t="s">
        <v>140</v>
      </c>
      <c r="CK72" s="36" t="s">
        <v>139</v>
      </c>
      <c r="CL72" s="36" t="s">
        <v>138</v>
      </c>
    </row>
    <row r="73" spans="1:90" ht="15" thickBot="1" x14ac:dyDescent="0.35">
      <c r="A73" s="12" t="s">
        <v>17</v>
      </c>
      <c r="B73" s="11">
        <v>2016</v>
      </c>
      <c r="C73" s="5">
        <v>415775</v>
      </c>
      <c r="D73" s="5">
        <v>13</v>
      </c>
      <c r="E73" s="29">
        <f>(D73/C73)*100000</f>
        <v>3.1266911189946489</v>
      </c>
      <c r="F73" s="4">
        <f>LN(E73)</f>
        <v>1.1399752948934245</v>
      </c>
      <c r="G73" s="10">
        <v>1.34E-2</v>
      </c>
      <c r="H73" s="3">
        <f>(EXP(G73)-1)*100</f>
        <v>1.3490182364349845</v>
      </c>
      <c r="I73" s="3">
        <f>(EXP(-0.099)-1)*100</f>
        <v>-9.4257291976451505</v>
      </c>
      <c r="J73" s="3">
        <f>(EXP(0.125)-1)*100</f>
        <v>13.314845306682631</v>
      </c>
      <c r="K73" s="31">
        <v>0.75600000000000001</v>
      </c>
      <c r="L73" s="5">
        <v>203534</v>
      </c>
      <c r="M73" s="5">
        <v>47</v>
      </c>
      <c r="N73" s="29">
        <f>(M73/L73)*100000</f>
        <v>23.091964978824176</v>
      </c>
      <c r="O73" s="4">
        <f>LN(N73)</f>
        <v>3.1394847206040923</v>
      </c>
      <c r="P73" s="10">
        <v>5.74E-2</v>
      </c>
      <c r="Q73" s="3">
        <f>(EXP(P73)-1)*100</f>
        <v>5.9079357423416523</v>
      </c>
      <c r="R73" s="3">
        <f>(EXP(0.023)-1)*100</f>
        <v>2.326653954721758</v>
      </c>
      <c r="S73" s="3">
        <f>(EXP(0.092)-1)*100</f>
        <v>9.6364822080816879</v>
      </c>
      <c r="T73" s="31">
        <v>9.4999999999999998E-3</v>
      </c>
      <c r="U73" s="5">
        <v>81304</v>
      </c>
      <c r="V73" s="5">
        <v>119</v>
      </c>
      <c r="W73" s="29">
        <f>(V73/U73)*100000</f>
        <v>146.36426252090916</v>
      </c>
      <c r="X73" s="4">
        <f>LN(W73)</f>
        <v>4.9860984632641552</v>
      </c>
      <c r="Y73" s="10">
        <v>5.3100000000000001E-2</v>
      </c>
      <c r="Z73" s="3">
        <f>(EXP(Y73)-1)*100</f>
        <v>5.4535093356191888</v>
      </c>
      <c r="AA73" s="3">
        <f>(EXP(0.023)-1)*100</f>
        <v>2.326653954721758</v>
      </c>
      <c r="AB73" s="3">
        <f>(EXP(0.083)-1)*100</f>
        <v>8.6541808548238119</v>
      </c>
      <c r="AC73" s="31">
        <v>8.2000000000000007E-3</v>
      </c>
      <c r="AE73" s="36" t="s">
        <v>137</v>
      </c>
      <c r="AF73" s="36">
        <v>1</v>
      </c>
      <c r="AG73" s="36">
        <v>3.2000000000000002E-3</v>
      </c>
      <c r="AH73" s="36">
        <v>3.2000000000000002E-3</v>
      </c>
      <c r="AI73" s="36" t="s">
        <v>137</v>
      </c>
      <c r="AJ73" s="36">
        <v>1</v>
      </c>
      <c r="AK73" s="36">
        <v>5.7700000000000001E-2</v>
      </c>
      <c r="AL73" s="36">
        <v>5.7700000000000001E-2</v>
      </c>
      <c r="AM73" s="36" t="s">
        <v>137</v>
      </c>
      <c r="AN73" s="36">
        <v>1</v>
      </c>
      <c r="AO73" s="36">
        <v>4.9399999999999999E-2</v>
      </c>
      <c r="AP73" s="36">
        <v>4.9399999999999999E-2</v>
      </c>
      <c r="AQ73" s="36" t="s">
        <v>137</v>
      </c>
      <c r="AR73" s="36">
        <v>1</v>
      </c>
      <c r="AS73" s="36">
        <v>1.6000000000000001E-3</v>
      </c>
      <c r="AT73" s="36">
        <v>1.6000000000000001E-3</v>
      </c>
      <c r="AU73" s="36" t="s">
        <v>137</v>
      </c>
      <c r="AV73" s="36">
        <v>1</v>
      </c>
      <c r="AW73" s="36">
        <v>3.5700000000000003E-2</v>
      </c>
      <c r="AX73" s="36">
        <v>3.5700000000000003E-2</v>
      </c>
      <c r="AY73" s="36" t="s">
        <v>137</v>
      </c>
      <c r="AZ73" s="36">
        <v>1</v>
      </c>
      <c r="BA73" s="36">
        <v>0.10730000000000001</v>
      </c>
      <c r="BB73" s="36">
        <v>0.10730000000000001</v>
      </c>
      <c r="BC73" s="36" t="s">
        <v>137</v>
      </c>
      <c r="BD73" s="36">
        <v>1</v>
      </c>
      <c r="BE73" s="36">
        <v>0.112</v>
      </c>
      <c r="BF73" s="36">
        <v>0.112</v>
      </c>
      <c r="BG73" s="36" t="s">
        <v>137</v>
      </c>
      <c r="BH73" s="36">
        <v>1</v>
      </c>
      <c r="BI73" s="36">
        <v>1.34E-2</v>
      </c>
      <c r="BJ73" s="36">
        <v>1.34E-2</v>
      </c>
      <c r="BK73" s="36" t="s">
        <v>137</v>
      </c>
      <c r="BL73" s="36">
        <v>1</v>
      </c>
      <c r="BM73" s="36">
        <v>3.3000000000000002E-2</v>
      </c>
      <c r="BN73" s="36">
        <v>3.3000000000000002E-2</v>
      </c>
      <c r="BO73" s="36" t="s">
        <v>137</v>
      </c>
      <c r="BP73" s="36">
        <v>1</v>
      </c>
      <c r="BQ73" s="36">
        <v>3.0499999999999999E-2</v>
      </c>
      <c r="BR73" s="36">
        <v>3.0499999999999999E-2</v>
      </c>
      <c r="BS73" s="36" t="s">
        <v>137</v>
      </c>
      <c r="BT73" s="36">
        <v>1</v>
      </c>
      <c r="BU73" s="36">
        <v>1.2999999999999999E-3</v>
      </c>
      <c r="BV73" s="36">
        <v>1.2999999999999999E-3</v>
      </c>
      <c r="BW73" s="36" t="s">
        <v>137</v>
      </c>
      <c r="BX73" s="36">
        <v>1</v>
      </c>
      <c r="BY73" s="36">
        <v>4.3E-3</v>
      </c>
      <c r="BZ73" s="36">
        <v>4.3E-3</v>
      </c>
      <c r="CA73" s="36" t="s">
        <v>137</v>
      </c>
      <c r="CB73" s="36">
        <v>1</v>
      </c>
      <c r="CC73" s="36">
        <v>3.3000000000000002E-2</v>
      </c>
      <c r="CD73" s="36">
        <v>3.3000000000000002E-2</v>
      </c>
      <c r="CE73" s="36" t="s">
        <v>137</v>
      </c>
      <c r="CF73" s="36">
        <v>1</v>
      </c>
      <c r="CG73" s="36">
        <v>1E-4</v>
      </c>
      <c r="CH73" s="36">
        <v>1E-4</v>
      </c>
      <c r="CI73" s="36" t="s">
        <v>137</v>
      </c>
      <c r="CJ73" s="36">
        <v>1</v>
      </c>
      <c r="CK73" s="36">
        <v>5.1000000000000004E-3</v>
      </c>
      <c r="CL73" s="36">
        <v>5.1000000000000004E-3</v>
      </c>
    </row>
    <row r="74" spans="1:90" ht="15" thickBot="1" x14ac:dyDescent="0.35">
      <c r="A74" s="9"/>
      <c r="B74" s="6">
        <v>2017</v>
      </c>
      <c r="C74" s="5">
        <v>453524</v>
      </c>
      <c r="D74" s="5">
        <v>10</v>
      </c>
      <c r="E74" s="29">
        <f>(D74/C74)*100000</f>
        <v>2.2049549748194144</v>
      </c>
      <c r="F74" s="4">
        <f>LN(E74)</f>
        <v>0.79070708910729481</v>
      </c>
      <c r="G74" s="8"/>
      <c r="H74" s="3"/>
      <c r="I74" s="3"/>
      <c r="J74" s="3"/>
      <c r="K74" s="30"/>
      <c r="L74" s="5">
        <v>211796</v>
      </c>
      <c r="M74" s="5">
        <v>55</v>
      </c>
      <c r="N74" s="29">
        <f>(M74/L74)*100000</f>
        <v>25.968384672042909</v>
      </c>
      <c r="O74" s="4">
        <f>LN(N74)</f>
        <v>3.2568798239728594</v>
      </c>
      <c r="P74" s="8"/>
      <c r="Q74" s="3"/>
      <c r="R74" s="3"/>
      <c r="S74" s="3"/>
      <c r="T74" s="30"/>
      <c r="U74" s="5">
        <v>85100</v>
      </c>
      <c r="V74" s="5">
        <v>143</v>
      </c>
      <c r="W74" s="29">
        <f>(V74/U74)*100000</f>
        <v>168.03760282021153</v>
      </c>
      <c r="X74" s="4">
        <f>LN(W74)</f>
        <v>5.1241877806686702</v>
      </c>
      <c r="Y74" s="8"/>
      <c r="Z74" s="3"/>
      <c r="AA74" s="3"/>
      <c r="AB74" s="3"/>
      <c r="AC74" s="30"/>
      <c r="AE74" s="36" t="s">
        <v>136</v>
      </c>
      <c r="AF74" s="36">
        <v>4</v>
      </c>
      <c r="AG74" s="36">
        <v>0.114</v>
      </c>
      <c r="AH74" s="36">
        <v>2.8500000000000001E-2</v>
      </c>
      <c r="AI74" s="36" t="s">
        <v>136</v>
      </c>
      <c r="AJ74" s="36">
        <v>4</v>
      </c>
      <c r="AK74" s="36">
        <v>1.06E-2</v>
      </c>
      <c r="AL74" s="36">
        <v>2.5999999999999999E-3</v>
      </c>
      <c r="AM74" s="36" t="s">
        <v>136</v>
      </c>
      <c r="AN74" s="36">
        <v>4</v>
      </c>
      <c r="AO74" s="36">
        <v>8.3000000000000001E-3</v>
      </c>
      <c r="AP74" s="36">
        <v>2.0999999999999999E-3</v>
      </c>
      <c r="AQ74" s="36" t="s">
        <v>136</v>
      </c>
      <c r="AR74" s="36">
        <v>4</v>
      </c>
      <c r="AS74" s="36">
        <v>6.6699999999999995E-2</v>
      </c>
      <c r="AT74" s="36">
        <v>1.67E-2</v>
      </c>
      <c r="AU74" s="36" t="s">
        <v>136</v>
      </c>
      <c r="AV74" s="36">
        <v>4</v>
      </c>
      <c r="AW74" s="36">
        <v>2.2100000000000002E-2</v>
      </c>
      <c r="AX74" s="36">
        <v>5.4999999999999997E-3</v>
      </c>
      <c r="AY74" s="36" t="s">
        <v>136</v>
      </c>
      <c r="AZ74" s="36">
        <v>4</v>
      </c>
      <c r="BA74" s="36">
        <v>3.5000000000000001E-3</v>
      </c>
      <c r="BB74" s="36">
        <v>8.9999999999999998E-4</v>
      </c>
      <c r="BC74" s="36" t="s">
        <v>136</v>
      </c>
      <c r="BD74" s="36">
        <v>4</v>
      </c>
      <c r="BE74" s="36">
        <v>0.15640000000000001</v>
      </c>
      <c r="BF74" s="36">
        <v>3.9100000000000003E-2</v>
      </c>
      <c r="BG74" s="36" t="s">
        <v>136</v>
      </c>
      <c r="BH74" s="36">
        <v>4</v>
      </c>
      <c r="BI74" s="36">
        <v>0.15540000000000001</v>
      </c>
      <c r="BJ74" s="36">
        <v>3.8899999999999997E-2</v>
      </c>
      <c r="BK74" s="36" t="s">
        <v>136</v>
      </c>
      <c r="BL74" s="36">
        <v>4</v>
      </c>
      <c r="BM74" s="36">
        <v>4.5900000000000003E-2</v>
      </c>
      <c r="BN74" s="36">
        <v>1.15E-2</v>
      </c>
      <c r="BO74" s="36" t="s">
        <v>136</v>
      </c>
      <c r="BP74" s="36">
        <v>4</v>
      </c>
      <c r="BQ74" s="36">
        <v>8.6999999999999994E-3</v>
      </c>
      <c r="BR74" s="36">
        <v>2.2000000000000001E-3</v>
      </c>
      <c r="BS74" s="36" t="s">
        <v>136</v>
      </c>
      <c r="BT74" s="36">
        <v>4</v>
      </c>
      <c r="BU74" s="36">
        <v>9.2999999999999992E-3</v>
      </c>
      <c r="BV74" s="36">
        <v>2.3E-3</v>
      </c>
      <c r="BW74" s="36" t="s">
        <v>136</v>
      </c>
      <c r="BX74" s="36">
        <v>4</v>
      </c>
      <c r="BY74" s="36">
        <v>4.4000000000000003E-3</v>
      </c>
      <c r="BZ74" s="36">
        <v>1.1000000000000001E-3</v>
      </c>
      <c r="CA74" s="36" t="s">
        <v>136</v>
      </c>
      <c r="CB74" s="36">
        <v>4</v>
      </c>
      <c r="CC74" s="36">
        <v>0.15190000000000001</v>
      </c>
      <c r="CD74" s="36">
        <v>3.7999999999999999E-2</v>
      </c>
      <c r="CE74" s="36" t="s">
        <v>136</v>
      </c>
      <c r="CF74" s="36">
        <v>4</v>
      </c>
      <c r="CG74" s="36">
        <v>9.2999999999999992E-3</v>
      </c>
      <c r="CH74" s="36">
        <v>2.3E-3</v>
      </c>
      <c r="CI74" s="36" t="s">
        <v>136</v>
      </c>
      <c r="CJ74" s="36">
        <v>4</v>
      </c>
      <c r="CK74" s="36">
        <v>7.1999999999999998E-3</v>
      </c>
      <c r="CL74" s="36">
        <v>1.8E-3</v>
      </c>
    </row>
    <row r="75" spans="1:90" ht="15" thickBot="1" x14ac:dyDescent="0.35">
      <c r="A75" s="9"/>
      <c r="B75" s="6">
        <v>2018</v>
      </c>
      <c r="C75" s="5">
        <v>455981</v>
      </c>
      <c r="D75" s="5">
        <v>11</v>
      </c>
      <c r="E75" s="29">
        <f>(D75/C75)*100000</f>
        <v>2.4123812176384543</v>
      </c>
      <c r="F75" s="4">
        <f>LN(E75)</f>
        <v>0.88061431680682223</v>
      </c>
      <c r="G75" s="8"/>
      <c r="H75" s="3"/>
      <c r="I75" s="3"/>
      <c r="J75" s="3"/>
      <c r="K75" s="30"/>
      <c r="L75" s="5">
        <v>220591</v>
      </c>
      <c r="M75" s="5">
        <v>59</v>
      </c>
      <c r="N75" s="29">
        <f>(M75/L75)*100000</f>
        <v>26.746331445979209</v>
      </c>
      <c r="O75" s="4">
        <f>LN(N75)</f>
        <v>3.2863973217307785</v>
      </c>
      <c r="P75" s="8"/>
      <c r="Q75" s="3"/>
      <c r="R75" s="3"/>
      <c r="S75" s="3"/>
      <c r="T75" s="30"/>
      <c r="U75" s="5">
        <v>89121</v>
      </c>
      <c r="V75" s="5">
        <v>147</v>
      </c>
      <c r="W75" s="29">
        <f>(V75/U75)*100000</f>
        <v>164.94428922476183</v>
      </c>
      <c r="X75" s="4">
        <f>LN(W75)</f>
        <v>5.1056077758249536</v>
      </c>
      <c r="Y75" s="8"/>
      <c r="Z75" s="3"/>
      <c r="AA75" s="3"/>
      <c r="AB75" s="3"/>
      <c r="AC75" s="30"/>
      <c r="AE75" s="36" t="s">
        <v>135</v>
      </c>
      <c r="AF75" s="36">
        <v>5</v>
      </c>
      <c r="AG75" s="36">
        <v>0.1172</v>
      </c>
      <c r="AH75" s="36" t="s">
        <v>134</v>
      </c>
      <c r="AI75" s="36" t="s">
        <v>135</v>
      </c>
      <c r="AJ75" s="36">
        <v>5</v>
      </c>
      <c r="AK75" s="36">
        <v>6.83E-2</v>
      </c>
      <c r="AL75" s="36" t="s">
        <v>134</v>
      </c>
      <c r="AM75" s="36" t="s">
        <v>135</v>
      </c>
      <c r="AN75" s="36">
        <v>5</v>
      </c>
      <c r="AO75" s="36">
        <v>5.7700000000000001E-2</v>
      </c>
      <c r="AP75" s="36" t="s">
        <v>134</v>
      </c>
      <c r="AQ75" s="36" t="s">
        <v>135</v>
      </c>
      <c r="AR75" s="36">
        <v>5</v>
      </c>
      <c r="AS75" s="36">
        <v>6.83E-2</v>
      </c>
      <c r="AT75" s="36" t="s">
        <v>134</v>
      </c>
      <c r="AU75" s="36" t="s">
        <v>135</v>
      </c>
      <c r="AV75" s="36">
        <v>5</v>
      </c>
      <c r="AW75" s="36">
        <v>5.7700000000000001E-2</v>
      </c>
      <c r="AX75" s="36" t="s">
        <v>134</v>
      </c>
      <c r="AY75" s="36" t="s">
        <v>135</v>
      </c>
      <c r="AZ75" s="36">
        <v>5</v>
      </c>
      <c r="BA75" s="36">
        <v>0.1108</v>
      </c>
      <c r="BB75" s="36" t="s">
        <v>134</v>
      </c>
      <c r="BC75" s="36" t="s">
        <v>135</v>
      </c>
      <c r="BD75" s="36">
        <v>5</v>
      </c>
      <c r="BE75" s="36">
        <v>0.26840000000000003</v>
      </c>
      <c r="BF75" s="36" t="s">
        <v>134</v>
      </c>
      <c r="BG75" s="36" t="s">
        <v>135</v>
      </c>
      <c r="BH75" s="36">
        <v>5</v>
      </c>
      <c r="BI75" s="36">
        <v>0.16889999999999999</v>
      </c>
      <c r="BJ75" s="36" t="s">
        <v>134</v>
      </c>
      <c r="BK75" s="36" t="s">
        <v>135</v>
      </c>
      <c r="BL75" s="36">
        <v>5</v>
      </c>
      <c r="BM75" s="36">
        <v>7.8899999999999998E-2</v>
      </c>
      <c r="BN75" s="36" t="s">
        <v>134</v>
      </c>
      <c r="BO75" s="36" t="s">
        <v>135</v>
      </c>
      <c r="BP75" s="36">
        <v>5</v>
      </c>
      <c r="BQ75" s="36">
        <v>3.9100000000000003E-2</v>
      </c>
      <c r="BR75" s="36" t="s">
        <v>134</v>
      </c>
      <c r="BS75" s="36" t="s">
        <v>135</v>
      </c>
      <c r="BT75" s="36">
        <v>5</v>
      </c>
      <c r="BU75" s="36">
        <v>1.06E-2</v>
      </c>
      <c r="BV75" s="36" t="s">
        <v>134</v>
      </c>
      <c r="BW75" s="36" t="s">
        <v>135</v>
      </c>
      <c r="BX75" s="36">
        <v>5</v>
      </c>
      <c r="BY75" s="36">
        <v>8.6999999999999994E-3</v>
      </c>
      <c r="BZ75" s="36" t="s">
        <v>134</v>
      </c>
      <c r="CA75" s="36" t="s">
        <v>135</v>
      </c>
      <c r="CB75" s="36">
        <v>5</v>
      </c>
      <c r="CC75" s="36">
        <v>0.18490000000000001</v>
      </c>
      <c r="CD75" s="36" t="s">
        <v>134</v>
      </c>
      <c r="CE75" s="36" t="s">
        <v>135</v>
      </c>
      <c r="CF75" s="36">
        <v>5</v>
      </c>
      <c r="CG75" s="36">
        <v>9.2999999999999992E-3</v>
      </c>
      <c r="CH75" s="36" t="s">
        <v>134</v>
      </c>
      <c r="CI75" s="36" t="s">
        <v>135</v>
      </c>
      <c r="CJ75" s="36">
        <v>5</v>
      </c>
      <c r="CK75" s="36">
        <v>1.23E-2</v>
      </c>
      <c r="CL75" s="36" t="s">
        <v>134</v>
      </c>
    </row>
    <row r="76" spans="1:90" ht="15" thickBot="1" x14ac:dyDescent="0.35">
      <c r="A76" s="9"/>
      <c r="B76" s="6">
        <v>2019</v>
      </c>
      <c r="C76" s="5">
        <v>476650</v>
      </c>
      <c r="D76" s="5">
        <v>14</v>
      </c>
      <c r="E76" s="29">
        <f>(D76/C76)*100000</f>
        <v>2.9371656351620685</v>
      </c>
      <c r="F76" s="4">
        <f>LN(E76)</f>
        <v>1.0774450466637628</v>
      </c>
      <c r="G76" s="8"/>
      <c r="H76" s="3"/>
      <c r="I76" s="3"/>
      <c r="J76" s="3"/>
      <c r="K76" s="30"/>
      <c r="L76" s="5">
        <v>230141</v>
      </c>
      <c r="M76" s="5">
        <v>67</v>
      </c>
      <c r="N76" s="29">
        <f>(M76/L76)*100000</f>
        <v>29.112587500706088</v>
      </c>
      <c r="O76" s="4">
        <f>LN(N76)</f>
        <v>3.3711706408119912</v>
      </c>
      <c r="P76" s="8"/>
      <c r="Q76" s="3"/>
      <c r="R76" s="3"/>
      <c r="S76" s="3"/>
      <c r="T76" s="30"/>
      <c r="U76" s="5">
        <v>93238</v>
      </c>
      <c r="V76" s="5">
        <v>163</v>
      </c>
      <c r="W76" s="29">
        <f>(V76/U76)*100000</f>
        <v>174.82142474098544</v>
      </c>
      <c r="X76" s="4">
        <f>LN(W76)</f>
        <v>5.1637650228788026</v>
      </c>
      <c r="Y76" s="8"/>
      <c r="Z76" s="3"/>
      <c r="AA76" s="3"/>
      <c r="AB76" s="3"/>
      <c r="AC76" s="30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  <c r="BR76" s="36"/>
      <c r="BS76" s="36"/>
      <c r="BT76" s="36"/>
      <c r="BU76" s="36"/>
      <c r="BV76" s="36"/>
      <c r="BW76" s="36"/>
      <c r="BX76" s="36"/>
      <c r="BY76" s="36"/>
      <c r="BZ76" s="36"/>
      <c r="CA76" s="36"/>
      <c r="CB76" s="36"/>
      <c r="CC76" s="36"/>
      <c r="CD76" s="36"/>
      <c r="CE76" s="36"/>
      <c r="CF76" s="36"/>
      <c r="CG76" s="36"/>
      <c r="CH76" s="36"/>
      <c r="CI76" s="36"/>
      <c r="CJ76" s="36"/>
      <c r="CK76" s="36"/>
      <c r="CL76" s="36"/>
    </row>
    <row r="77" spans="1:90" ht="15" thickBot="1" x14ac:dyDescent="0.35">
      <c r="A77" s="9"/>
      <c r="B77" s="6">
        <v>2020</v>
      </c>
      <c r="C77" s="5">
        <v>495408</v>
      </c>
      <c r="D77" s="5">
        <v>12</v>
      </c>
      <c r="E77" s="29">
        <f>(D77/C77)*100000</f>
        <v>2.4222459064044184</v>
      </c>
      <c r="F77" s="4">
        <f>LN(E77)</f>
        <v>0.88469517028440459</v>
      </c>
      <c r="G77" s="8"/>
      <c r="H77" s="3"/>
      <c r="I77" s="3"/>
      <c r="J77" s="3"/>
      <c r="K77" s="30"/>
      <c r="L77" s="5">
        <v>238591</v>
      </c>
      <c r="M77" s="5">
        <v>77</v>
      </c>
      <c r="N77" s="29">
        <f>(M77/L77)*100000</f>
        <v>32.272801572565605</v>
      </c>
      <c r="O77" s="4">
        <f>LN(N77)</f>
        <v>3.4742248189229068</v>
      </c>
      <c r="P77" s="8"/>
      <c r="Q77" s="3"/>
      <c r="R77" s="3"/>
      <c r="S77" s="3"/>
      <c r="T77" s="30"/>
      <c r="U77" s="5">
        <v>95929</v>
      </c>
      <c r="V77" s="5">
        <v>190</v>
      </c>
      <c r="W77" s="29">
        <f>(V77/U77)*100000</f>
        <v>198.06315087199906</v>
      </c>
      <c r="X77" s="4">
        <f>LN(W77)</f>
        <v>5.2885859236407491</v>
      </c>
      <c r="Y77" s="8"/>
      <c r="Z77" s="3"/>
      <c r="AA77" s="3"/>
      <c r="AB77" s="3"/>
      <c r="AC77" s="30"/>
      <c r="AE77" s="36" t="s">
        <v>120</v>
      </c>
      <c r="AF77" s="36">
        <v>0.11070000000000001</v>
      </c>
      <c r="AG77" s="36" t="s">
        <v>133</v>
      </c>
      <c r="AH77" s="36"/>
      <c r="AI77" s="36" t="s">
        <v>120</v>
      </c>
      <c r="AJ77" s="36">
        <v>21.846299999999999</v>
      </c>
      <c r="AK77" s="36" t="s">
        <v>132</v>
      </c>
      <c r="AL77" s="36"/>
      <c r="AM77" s="36" t="s">
        <v>120</v>
      </c>
      <c r="AN77" s="36">
        <v>23.7882</v>
      </c>
      <c r="AO77" s="36" t="s">
        <v>15</v>
      </c>
      <c r="AP77" s="36"/>
      <c r="AQ77" s="36" t="s">
        <v>120</v>
      </c>
      <c r="AR77" s="36">
        <v>9.3299999999999994E-2</v>
      </c>
      <c r="AS77" s="36" t="s">
        <v>131</v>
      </c>
      <c r="AT77" s="36"/>
      <c r="AU77" s="36" t="s">
        <v>120</v>
      </c>
      <c r="AV77" s="36">
        <v>6.4634999999999998</v>
      </c>
      <c r="AW77" s="36" t="s">
        <v>130</v>
      </c>
      <c r="AX77" s="36"/>
      <c r="AY77" s="36" t="s">
        <v>120</v>
      </c>
      <c r="AZ77" s="36">
        <v>120.89530000000001</v>
      </c>
      <c r="BA77" s="36" t="s">
        <v>129</v>
      </c>
      <c r="BB77" s="36"/>
      <c r="BC77" s="36" t="s">
        <v>120</v>
      </c>
      <c r="BD77" s="36">
        <v>2.8645</v>
      </c>
      <c r="BE77" s="36" t="s">
        <v>128</v>
      </c>
      <c r="BF77" s="36"/>
      <c r="BG77" s="36" t="s">
        <v>120</v>
      </c>
      <c r="BH77" s="36">
        <v>0.34589999999999999</v>
      </c>
      <c r="BI77" s="36" t="s">
        <v>127</v>
      </c>
      <c r="BJ77" s="36"/>
      <c r="BK77" s="36" t="s">
        <v>120</v>
      </c>
      <c r="BL77" s="36">
        <v>2.8746</v>
      </c>
      <c r="BM77" s="36" t="s">
        <v>126</v>
      </c>
      <c r="BN77" s="36"/>
      <c r="BO77" s="36" t="s">
        <v>120</v>
      </c>
      <c r="BP77" s="36">
        <v>14.0298</v>
      </c>
      <c r="BQ77" s="36" t="s">
        <v>125</v>
      </c>
      <c r="BR77" s="36"/>
      <c r="BS77" s="36" t="s">
        <v>120</v>
      </c>
      <c r="BT77" s="36">
        <v>0.55210000000000004</v>
      </c>
      <c r="BU77" s="36" t="s">
        <v>124</v>
      </c>
      <c r="BV77" s="36"/>
      <c r="BW77" s="36" t="s">
        <v>120</v>
      </c>
      <c r="BX77" s="36">
        <v>3.9628999999999999</v>
      </c>
      <c r="BY77" s="36" t="s">
        <v>123</v>
      </c>
      <c r="BZ77" s="36"/>
      <c r="CA77" s="36" t="s">
        <v>120</v>
      </c>
      <c r="CB77" s="36">
        <v>0.86899999999999999</v>
      </c>
      <c r="CC77" s="36" t="s">
        <v>122</v>
      </c>
      <c r="CD77" s="36"/>
      <c r="CE77" s="36" t="s">
        <v>120</v>
      </c>
      <c r="CF77" s="36">
        <v>3.0200000000000001E-2</v>
      </c>
      <c r="CG77" s="36" t="s">
        <v>121</v>
      </c>
      <c r="CH77" s="36"/>
      <c r="CI77" s="36" t="s">
        <v>120</v>
      </c>
      <c r="CJ77" s="36">
        <v>2.8609</v>
      </c>
      <c r="CK77" s="36" t="s">
        <v>119</v>
      </c>
      <c r="CL77" s="36"/>
    </row>
    <row r="78" spans="1:90" ht="15" thickBot="1" x14ac:dyDescent="0.35">
      <c r="A78" s="7"/>
      <c r="B78" s="6">
        <v>2021</v>
      </c>
      <c r="C78" s="5">
        <v>511902</v>
      </c>
      <c r="D78" s="5">
        <v>16</v>
      </c>
      <c r="E78" s="29">
        <f>(D78/C78)*100000</f>
        <v>3.1255982590417699</v>
      </c>
      <c r="F78" s="4">
        <f>LN(E78)</f>
        <v>1.1396257077588789</v>
      </c>
      <c r="G78" s="2"/>
      <c r="H78" s="3"/>
      <c r="I78" s="3"/>
      <c r="J78" s="3"/>
      <c r="K78" s="28"/>
      <c r="L78" s="5">
        <v>245856</v>
      </c>
      <c r="M78" s="5">
        <v>74</v>
      </c>
      <c r="N78" s="29">
        <f>(M78/L78)*100000</f>
        <v>30.098919692828325</v>
      </c>
      <c r="O78" s="4">
        <f>LN(N78)</f>
        <v>3.4044892805070366</v>
      </c>
      <c r="P78" s="2"/>
      <c r="Q78" s="3"/>
      <c r="R78" s="3"/>
      <c r="S78" s="3"/>
      <c r="T78" s="28"/>
      <c r="U78" s="5">
        <v>97181</v>
      </c>
      <c r="V78" s="5">
        <v>186</v>
      </c>
      <c r="W78" s="29">
        <f>(V78/U78)*100000</f>
        <v>191.39543737973472</v>
      </c>
      <c r="X78" s="4">
        <f>LN(W78)</f>
        <v>5.2543416405933137</v>
      </c>
      <c r="Y78" s="2"/>
      <c r="Z78" s="3"/>
      <c r="AA78" s="3"/>
      <c r="AB78" s="3"/>
      <c r="AC78" s="28"/>
      <c r="AE78" s="36" t="s">
        <v>116</v>
      </c>
      <c r="AF78" s="36" t="s">
        <v>118</v>
      </c>
      <c r="AG78" s="36"/>
      <c r="AH78" s="36"/>
      <c r="AI78" s="36" t="s">
        <v>116</v>
      </c>
      <c r="AJ78" s="36" t="s">
        <v>117</v>
      </c>
      <c r="AK78" s="36"/>
      <c r="AL78" s="36"/>
      <c r="AM78" s="36" t="s">
        <v>116</v>
      </c>
      <c r="AN78" s="36" t="s">
        <v>115</v>
      </c>
      <c r="AO78" s="36"/>
      <c r="AP78" s="36"/>
      <c r="AQ78" s="36" t="s">
        <v>116</v>
      </c>
      <c r="AR78" s="36" t="s">
        <v>118</v>
      </c>
      <c r="AS78" s="36"/>
      <c r="AT78" s="36"/>
      <c r="AU78" s="36" t="s">
        <v>116</v>
      </c>
      <c r="AV78" s="36" t="s">
        <v>117</v>
      </c>
      <c r="AW78" s="36"/>
      <c r="AX78" s="36"/>
      <c r="AY78" s="36" t="s">
        <v>116</v>
      </c>
      <c r="AZ78" s="36" t="s">
        <v>115</v>
      </c>
      <c r="BA78" s="36"/>
      <c r="BB78" s="36"/>
      <c r="BC78" s="36" t="s">
        <v>116</v>
      </c>
      <c r="BD78" s="36" t="s">
        <v>118</v>
      </c>
      <c r="BE78" s="36"/>
      <c r="BF78" s="36"/>
      <c r="BG78" s="36" t="s">
        <v>116</v>
      </c>
      <c r="BH78" s="36" t="s">
        <v>117</v>
      </c>
      <c r="BI78" s="36"/>
      <c r="BJ78" s="36"/>
      <c r="BK78" s="36" t="s">
        <v>116</v>
      </c>
      <c r="BL78" s="36" t="s">
        <v>115</v>
      </c>
      <c r="BM78" s="36"/>
      <c r="BN78" s="36"/>
      <c r="BO78" s="36" t="s">
        <v>116</v>
      </c>
      <c r="BP78" s="36" t="s">
        <v>118</v>
      </c>
      <c r="BQ78" s="36"/>
      <c r="BR78" s="36"/>
      <c r="BS78" s="36" t="s">
        <v>116</v>
      </c>
      <c r="BT78" s="36" t="s">
        <v>117</v>
      </c>
      <c r="BU78" s="36"/>
      <c r="BV78" s="36"/>
      <c r="BW78" s="36" t="s">
        <v>116</v>
      </c>
      <c r="BX78" s="36" t="s">
        <v>115</v>
      </c>
      <c r="BY78" s="36"/>
      <c r="BZ78" s="36"/>
      <c r="CA78" s="36" t="s">
        <v>116</v>
      </c>
      <c r="CB78" s="36" t="s">
        <v>118</v>
      </c>
      <c r="CC78" s="36"/>
      <c r="CD78" s="36"/>
      <c r="CE78" s="36" t="s">
        <v>116</v>
      </c>
      <c r="CF78" s="36" t="s">
        <v>117</v>
      </c>
      <c r="CG78" s="36"/>
      <c r="CH78" s="36"/>
      <c r="CI78" s="36" t="s">
        <v>116</v>
      </c>
      <c r="CJ78" s="36" t="s">
        <v>115</v>
      </c>
      <c r="CK78" s="36"/>
      <c r="CL78" s="36"/>
    </row>
    <row r="79" spans="1:90" ht="15" thickBot="1" x14ac:dyDescent="0.35">
      <c r="A79" s="19" t="s">
        <v>13</v>
      </c>
      <c r="B79" s="14">
        <v>2016</v>
      </c>
      <c r="C79" s="33">
        <v>1613746</v>
      </c>
      <c r="D79" s="33">
        <v>67</v>
      </c>
      <c r="E79" s="29">
        <f>(D79/C79)*100000</f>
        <v>4.1518305854824735</v>
      </c>
      <c r="F79" s="4">
        <f>LN(E79)</f>
        <v>1.4235493419199603</v>
      </c>
      <c r="G79" s="18">
        <v>9.4000000000000004E-3</v>
      </c>
      <c r="H79" s="3">
        <f>(EXP(G79)-1)*100</f>
        <v>0.94443187565913522</v>
      </c>
      <c r="I79" s="3">
        <f>(EXP(-0.076)-1)*100</f>
        <v>-7.3183793440617766</v>
      </c>
      <c r="J79" s="3">
        <f>(EXP(0.095)-1)*100</f>
        <v>9.965885512610285</v>
      </c>
      <c r="K79" s="35">
        <v>0.77529999999999999</v>
      </c>
      <c r="L79" s="33">
        <v>901214</v>
      </c>
      <c r="M79" s="33">
        <v>281</v>
      </c>
      <c r="N79" s="29">
        <f>(M79/L79)*100000</f>
        <v>31.180163645926495</v>
      </c>
      <c r="O79" s="4">
        <f>LN(N79)</f>
        <v>3.4397821120419798</v>
      </c>
      <c r="P79" s="18">
        <v>4.5100000000000001E-2</v>
      </c>
      <c r="Q79" s="3">
        <f>(EXP(P79)-1)*100</f>
        <v>4.6132467925021459</v>
      </c>
      <c r="R79" s="3">
        <f>(EXP(-0.004)-1)*100</f>
        <v>-0.39920106560085156</v>
      </c>
      <c r="S79" s="3">
        <f>(EXP(0.094)-1)*100</f>
        <v>9.8559745917173647</v>
      </c>
      <c r="T79" s="35">
        <v>6.3799999999999996E-2</v>
      </c>
      <c r="U79" s="33">
        <v>411087</v>
      </c>
      <c r="V79" s="33">
        <v>777</v>
      </c>
      <c r="W79" s="29">
        <f>(V79/U79)*100000</f>
        <v>189.01108524472923</v>
      </c>
      <c r="X79" s="4">
        <f>LN(W79)</f>
        <v>5.2418056654281902</v>
      </c>
      <c r="Y79" s="18">
        <v>7.8299999999999995E-2</v>
      </c>
      <c r="Z79" s="3">
        <f>(EXP(Y79)-1)*100</f>
        <v>8.1447044123069254</v>
      </c>
      <c r="AA79" s="3">
        <f>(EXP(0.059)-1)*100</f>
        <v>6.0775240740158942</v>
      </c>
      <c r="AB79" s="3">
        <f>(EXP(0.098)-1)*100</f>
        <v>10.296278510850776</v>
      </c>
      <c r="AC79" s="35" t="s">
        <v>10</v>
      </c>
      <c r="AE79" s="36" t="s">
        <v>114</v>
      </c>
      <c r="AF79" s="36" t="s">
        <v>113</v>
      </c>
      <c r="AG79" s="36"/>
      <c r="AH79" s="36"/>
      <c r="AI79" s="36" t="s">
        <v>114</v>
      </c>
      <c r="AJ79" s="36" t="s">
        <v>113</v>
      </c>
      <c r="AK79" s="36"/>
      <c r="AL79" s="36"/>
      <c r="AM79" s="36" t="s">
        <v>114</v>
      </c>
      <c r="AN79" s="36" t="s">
        <v>113</v>
      </c>
      <c r="AO79" s="36"/>
      <c r="AP79" s="36"/>
      <c r="AQ79" s="36" t="s">
        <v>114</v>
      </c>
      <c r="AR79" s="36" t="s">
        <v>113</v>
      </c>
      <c r="AS79" s="36"/>
      <c r="AT79" s="36"/>
      <c r="AU79" s="36" t="s">
        <v>114</v>
      </c>
      <c r="AV79" s="36" t="s">
        <v>113</v>
      </c>
      <c r="AW79" s="36"/>
      <c r="AX79" s="36"/>
      <c r="AY79" s="36" t="s">
        <v>114</v>
      </c>
      <c r="AZ79" s="36" t="s">
        <v>113</v>
      </c>
      <c r="BA79" s="36"/>
      <c r="BB79" s="36"/>
      <c r="BC79" s="36" t="s">
        <v>114</v>
      </c>
      <c r="BD79" s="36" t="s">
        <v>113</v>
      </c>
      <c r="BE79" s="36"/>
      <c r="BF79" s="36"/>
      <c r="BG79" s="36" t="s">
        <v>114</v>
      </c>
      <c r="BH79" s="36" t="s">
        <v>113</v>
      </c>
      <c r="BI79" s="36"/>
      <c r="BJ79" s="36"/>
      <c r="BK79" s="36" t="s">
        <v>114</v>
      </c>
      <c r="BL79" s="36" t="s">
        <v>113</v>
      </c>
      <c r="BM79" s="36"/>
      <c r="BN79" s="36"/>
      <c r="BO79" s="36" t="s">
        <v>114</v>
      </c>
      <c r="BP79" s="36" t="s">
        <v>113</v>
      </c>
      <c r="BQ79" s="36"/>
      <c r="BR79" s="36"/>
      <c r="BS79" s="36" t="s">
        <v>114</v>
      </c>
      <c r="BT79" s="36" t="s">
        <v>113</v>
      </c>
      <c r="BU79" s="36"/>
      <c r="BV79" s="36"/>
      <c r="BW79" s="36" t="s">
        <v>114</v>
      </c>
      <c r="BX79" s="36" t="s">
        <v>113</v>
      </c>
      <c r="BY79" s="36"/>
      <c r="BZ79" s="36"/>
      <c r="CA79" s="36" t="s">
        <v>114</v>
      </c>
      <c r="CB79" s="36" t="s">
        <v>113</v>
      </c>
      <c r="CC79" s="36"/>
      <c r="CD79" s="36"/>
      <c r="CE79" s="36" t="s">
        <v>114</v>
      </c>
      <c r="CF79" s="36" t="s">
        <v>113</v>
      </c>
      <c r="CG79" s="36"/>
      <c r="CH79" s="36"/>
      <c r="CI79" s="36" t="s">
        <v>114</v>
      </c>
      <c r="CJ79" s="36" t="s">
        <v>113</v>
      </c>
      <c r="CK79" s="36"/>
      <c r="CL79" s="36"/>
    </row>
    <row r="80" spans="1:90" ht="15" thickBot="1" x14ac:dyDescent="0.35">
      <c r="A80" s="17"/>
      <c r="B80" s="14">
        <v>2017</v>
      </c>
      <c r="C80" s="33">
        <v>1660332</v>
      </c>
      <c r="D80" s="33">
        <v>76</v>
      </c>
      <c r="E80" s="29">
        <f>(D80/C80)*100000</f>
        <v>4.5773977734573563</v>
      </c>
      <c r="F80" s="4">
        <f>LN(E80)</f>
        <v>1.5211306649211671</v>
      </c>
      <c r="G80" s="16"/>
      <c r="H80" s="3"/>
      <c r="I80" s="3"/>
      <c r="J80" s="3"/>
      <c r="K80" s="34"/>
      <c r="L80" s="33">
        <v>930575</v>
      </c>
      <c r="M80" s="33">
        <v>354</v>
      </c>
      <c r="N80" s="29">
        <f>(M80/L80)*100000</f>
        <v>38.040996158289232</v>
      </c>
      <c r="O80" s="4">
        <f>LN(N80)</f>
        <v>3.6386644244607385</v>
      </c>
      <c r="P80" s="16"/>
      <c r="Q80" s="3"/>
      <c r="R80" s="3"/>
      <c r="S80" s="3"/>
      <c r="T80" s="34"/>
      <c r="U80" s="33">
        <v>424006</v>
      </c>
      <c r="V80" s="33">
        <v>908</v>
      </c>
      <c r="W80" s="29">
        <f>(V80/U80)*100000</f>
        <v>214.14791300123113</v>
      </c>
      <c r="X80" s="4">
        <f>LN(W80)</f>
        <v>5.3666669585141547</v>
      </c>
      <c r="Y80" s="16"/>
      <c r="Z80" s="3"/>
      <c r="AA80" s="3"/>
      <c r="AB80" s="3"/>
      <c r="AC80" s="34"/>
      <c r="AE80" s="36" t="s">
        <v>112</v>
      </c>
      <c r="AF80" s="36">
        <v>3.5</v>
      </c>
      <c r="AG80" s="36"/>
      <c r="AH80" s="36"/>
      <c r="AI80" s="36" t="s">
        <v>112</v>
      </c>
      <c r="AJ80" s="36">
        <v>3.5</v>
      </c>
      <c r="AK80" s="36"/>
      <c r="AL80" s="36"/>
      <c r="AM80" s="36" t="s">
        <v>112</v>
      </c>
      <c r="AN80" s="36">
        <v>3.5</v>
      </c>
      <c r="AO80" s="36"/>
      <c r="AP80" s="36"/>
      <c r="AQ80" s="36" t="s">
        <v>112</v>
      </c>
      <c r="AR80" s="36">
        <v>3.5</v>
      </c>
      <c r="AS80" s="36"/>
      <c r="AT80" s="36"/>
      <c r="AU80" s="36" t="s">
        <v>112</v>
      </c>
      <c r="AV80" s="36">
        <v>3.5</v>
      </c>
      <c r="AW80" s="36"/>
      <c r="AX80" s="36"/>
      <c r="AY80" s="36" t="s">
        <v>112</v>
      </c>
      <c r="AZ80" s="36">
        <v>3.5</v>
      </c>
      <c r="BA80" s="36"/>
      <c r="BB80" s="36"/>
      <c r="BC80" s="36" t="s">
        <v>112</v>
      </c>
      <c r="BD80" s="36">
        <v>3.5</v>
      </c>
      <c r="BE80" s="36"/>
      <c r="BF80" s="36"/>
      <c r="BG80" s="36" t="s">
        <v>112</v>
      </c>
      <c r="BH80" s="36">
        <v>3.5</v>
      </c>
      <c r="BI80" s="36"/>
      <c r="BJ80" s="36"/>
      <c r="BK80" s="36" t="s">
        <v>112</v>
      </c>
      <c r="BL80" s="36">
        <v>3.5</v>
      </c>
      <c r="BM80" s="36"/>
      <c r="BN80" s="36"/>
      <c r="BO80" s="36" t="s">
        <v>112</v>
      </c>
      <c r="BP80" s="36">
        <v>3.5</v>
      </c>
      <c r="BQ80" s="36"/>
      <c r="BR80" s="36"/>
      <c r="BS80" s="36" t="s">
        <v>112</v>
      </c>
      <c r="BT80" s="36">
        <v>3.5</v>
      </c>
      <c r="BU80" s="36"/>
      <c r="BV80" s="36"/>
      <c r="BW80" s="36" t="s">
        <v>112</v>
      </c>
      <c r="BX80" s="36">
        <v>3.5</v>
      </c>
      <c r="BY80" s="36"/>
      <c r="BZ80" s="36"/>
      <c r="CA80" s="36" t="s">
        <v>112</v>
      </c>
      <c r="CB80" s="36">
        <v>3.5</v>
      </c>
      <c r="CC80" s="36"/>
      <c r="CD80" s="36"/>
      <c r="CE80" s="36" t="s">
        <v>112</v>
      </c>
      <c r="CF80" s="36">
        <v>3.5</v>
      </c>
      <c r="CG80" s="36"/>
      <c r="CH80" s="36"/>
      <c r="CI80" s="36" t="s">
        <v>112</v>
      </c>
      <c r="CJ80" s="36">
        <v>3.5</v>
      </c>
      <c r="CK80" s="36"/>
      <c r="CL80" s="36"/>
    </row>
    <row r="81" spans="1:90" ht="15" thickBot="1" x14ac:dyDescent="0.35">
      <c r="A81" s="17"/>
      <c r="B81" s="14">
        <v>2018</v>
      </c>
      <c r="C81" s="33">
        <v>1709345</v>
      </c>
      <c r="D81" s="33">
        <v>58</v>
      </c>
      <c r="E81" s="29">
        <f>(D81/C81)*100000</f>
        <v>3.3931125665093944</v>
      </c>
      <c r="F81" s="4">
        <f>LN(E81)</f>
        <v>1.2217476613523957</v>
      </c>
      <c r="G81" s="16"/>
      <c r="H81" s="3"/>
      <c r="I81" s="3"/>
      <c r="J81" s="3"/>
      <c r="K81" s="34"/>
      <c r="L81" s="33">
        <v>961436</v>
      </c>
      <c r="M81" s="33">
        <v>314</v>
      </c>
      <c r="N81" s="29">
        <f>(M81/L81)*100000</f>
        <v>32.659480194209493</v>
      </c>
      <c r="O81" s="4">
        <f>LN(N81)</f>
        <v>3.486135171745409</v>
      </c>
      <c r="P81" s="16"/>
      <c r="Q81" s="3"/>
      <c r="R81" s="3"/>
      <c r="S81" s="3"/>
      <c r="T81" s="34"/>
      <c r="U81" s="33">
        <v>438063</v>
      </c>
      <c r="V81" s="33">
        <v>967</v>
      </c>
      <c r="W81" s="29">
        <f>(V81/U81)*100000</f>
        <v>220.74450478584131</v>
      </c>
      <c r="X81" s="4">
        <f>LN(W81)</f>
        <v>5.397005945791852</v>
      </c>
      <c r="Y81" s="16"/>
      <c r="Z81" s="3"/>
      <c r="AA81" s="3"/>
      <c r="AB81" s="3"/>
      <c r="AC81" s="34"/>
      <c r="AE81" s="36" t="s">
        <v>111</v>
      </c>
      <c r="AF81" s="36">
        <v>0.98499999999999999</v>
      </c>
      <c r="AG81" s="36"/>
      <c r="AH81" s="36"/>
      <c r="AI81" s="36" t="s">
        <v>111</v>
      </c>
      <c r="AJ81" s="36">
        <v>3.3216999999999999</v>
      </c>
      <c r="AK81" s="36"/>
      <c r="AL81" s="36"/>
      <c r="AM81" s="36" t="s">
        <v>111</v>
      </c>
      <c r="AN81" s="36">
        <v>5.1532999999999998</v>
      </c>
      <c r="AO81" s="36"/>
      <c r="AP81" s="36"/>
      <c r="AQ81" s="36" t="s">
        <v>111</v>
      </c>
      <c r="AR81" s="36">
        <v>1.4382999999999999</v>
      </c>
      <c r="AS81" s="36"/>
      <c r="AT81" s="36"/>
      <c r="AU81" s="36" t="s">
        <v>111</v>
      </c>
      <c r="AV81" s="36">
        <v>3.5966999999999998</v>
      </c>
      <c r="AW81" s="36"/>
      <c r="AX81" s="36"/>
      <c r="AY81" s="36" t="s">
        <v>111</v>
      </c>
      <c r="AZ81" s="36">
        <v>5.46</v>
      </c>
      <c r="BA81" s="36"/>
      <c r="BB81" s="36"/>
      <c r="BC81" s="36" t="s">
        <v>111</v>
      </c>
      <c r="BD81" s="36">
        <v>1.68</v>
      </c>
      <c r="BE81" s="36"/>
      <c r="BF81" s="36"/>
      <c r="BG81" s="36" t="s">
        <v>111</v>
      </c>
      <c r="BH81" s="36">
        <v>3.9782999999999999</v>
      </c>
      <c r="BI81" s="36"/>
      <c r="BJ81" s="36"/>
      <c r="BK81" s="36" t="s">
        <v>111</v>
      </c>
      <c r="BL81" s="36">
        <v>5.9367000000000001</v>
      </c>
      <c r="BM81" s="36"/>
      <c r="BN81" s="36"/>
      <c r="BO81" s="36" t="s">
        <v>111</v>
      </c>
      <c r="BP81" s="36">
        <v>1.7867</v>
      </c>
      <c r="BQ81" s="36"/>
      <c r="BR81" s="36"/>
      <c r="BS81" s="36" t="s">
        <v>111</v>
      </c>
      <c r="BT81" s="36">
        <v>4.01</v>
      </c>
      <c r="BU81" s="36"/>
      <c r="BV81" s="36"/>
      <c r="BW81" s="36" t="s">
        <v>111</v>
      </c>
      <c r="BX81" s="36">
        <v>5.9882999999999997</v>
      </c>
      <c r="BY81" s="36"/>
      <c r="BZ81" s="36"/>
      <c r="CA81" s="36" t="s">
        <v>111</v>
      </c>
      <c r="CB81" s="36">
        <v>1.8833</v>
      </c>
      <c r="CC81" s="36"/>
      <c r="CD81" s="36"/>
      <c r="CE81" s="36" t="s">
        <v>111</v>
      </c>
      <c r="CF81" s="36">
        <v>4.2050000000000001</v>
      </c>
      <c r="CG81" s="36"/>
      <c r="CH81" s="36"/>
      <c r="CI81" s="36" t="s">
        <v>111</v>
      </c>
      <c r="CJ81" s="36">
        <v>6.1433</v>
      </c>
      <c r="CK81" s="36"/>
      <c r="CL81" s="36"/>
    </row>
    <row r="82" spans="1:90" ht="15" thickBot="1" x14ac:dyDescent="0.35">
      <c r="A82" s="17"/>
      <c r="B82" s="14">
        <v>2019</v>
      </c>
      <c r="C82" s="33">
        <v>1762672</v>
      </c>
      <c r="D82" s="33">
        <v>83</v>
      </c>
      <c r="E82" s="29">
        <f>(D82/C82)*100000</f>
        <v>4.7087603365799193</v>
      </c>
      <c r="F82" s="4">
        <f>LN(E82)</f>
        <v>1.549424675207246</v>
      </c>
      <c r="G82" s="16"/>
      <c r="H82" s="3"/>
      <c r="I82" s="3"/>
      <c r="J82" s="3"/>
      <c r="K82" s="34"/>
      <c r="L82" s="33">
        <v>993657</v>
      </c>
      <c r="M82" s="33">
        <v>372</v>
      </c>
      <c r="N82" s="29">
        <f>(M82/L82)*100000</f>
        <v>37.437465845860295</v>
      </c>
      <c r="O82" s="4">
        <f>LN(N82)</f>
        <v>3.6226719635776972</v>
      </c>
      <c r="P82" s="16"/>
      <c r="Q82" s="3"/>
      <c r="R82" s="3"/>
      <c r="S82" s="3"/>
      <c r="T82" s="34"/>
      <c r="U82" s="33">
        <v>452046</v>
      </c>
      <c r="V82" s="33">
        <v>1145</v>
      </c>
      <c r="W82" s="29">
        <f>(V82/U82)*100000</f>
        <v>253.29280648429585</v>
      </c>
      <c r="X82" s="4">
        <f>LN(W82)</f>
        <v>5.5345461574109018</v>
      </c>
      <c r="Y82" s="16"/>
      <c r="Z82" s="3"/>
      <c r="AA82" s="3"/>
      <c r="AB82" s="3"/>
      <c r="AC82" s="34"/>
      <c r="AE82" s="36" t="s">
        <v>110</v>
      </c>
      <c r="AF82" s="36">
        <v>2.69E-2</v>
      </c>
      <c r="AG82" s="36"/>
      <c r="AH82" s="36"/>
      <c r="AI82" s="36" t="s">
        <v>110</v>
      </c>
      <c r="AJ82" s="36">
        <v>0.84519999999999995</v>
      </c>
      <c r="AK82" s="36"/>
      <c r="AL82" s="36"/>
      <c r="AM82" s="36" t="s">
        <v>110</v>
      </c>
      <c r="AN82" s="36">
        <v>0.85609999999999997</v>
      </c>
      <c r="AO82" s="36"/>
      <c r="AP82" s="36"/>
      <c r="AQ82" s="36" t="s">
        <v>110</v>
      </c>
      <c r="AR82" s="36">
        <v>2.2800000000000001E-2</v>
      </c>
      <c r="AS82" s="36"/>
      <c r="AT82" s="36"/>
      <c r="AU82" s="36" t="s">
        <v>110</v>
      </c>
      <c r="AV82" s="36">
        <v>0.61770000000000003</v>
      </c>
      <c r="AW82" s="36"/>
      <c r="AX82" s="36"/>
      <c r="AY82" s="36" t="s">
        <v>110</v>
      </c>
      <c r="AZ82" s="36">
        <v>0.96799999999999997</v>
      </c>
      <c r="BA82" s="36"/>
      <c r="BB82" s="36"/>
      <c r="BC82" s="36" t="s">
        <v>110</v>
      </c>
      <c r="BD82" s="36">
        <v>0.4173</v>
      </c>
      <c r="BE82" s="36"/>
      <c r="BF82" s="36"/>
      <c r="BG82" s="36" t="s">
        <v>110</v>
      </c>
      <c r="BH82" s="36">
        <v>7.9600000000000004E-2</v>
      </c>
      <c r="BI82" s="36"/>
      <c r="BJ82" s="36"/>
      <c r="BK82" s="36" t="s">
        <v>110</v>
      </c>
      <c r="BL82" s="36">
        <v>0.41810000000000003</v>
      </c>
      <c r="BM82" s="36"/>
      <c r="BN82" s="36"/>
      <c r="BO82" s="36" t="s">
        <v>110</v>
      </c>
      <c r="BP82" s="36">
        <v>0.77810000000000001</v>
      </c>
      <c r="BQ82" s="36"/>
      <c r="BR82" s="36"/>
      <c r="BS82" s="36" t="s">
        <v>110</v>
      </c>
      <c r="BT82" s="36">
        <v>0.12130000000000001</v>
      </c>
      <c r="BU82" s="36"/>
      <c r="BV82" s="36"/>
      <c r="BW82" s="36" t="s">
        <v>110</v>
      </c>
      <c r="BX82" s="36">
        <v>0.49769999999999998</v>
      </c>
      <c r="BY82" s="36"/>
      <c r="BZ82" s="36"/>
      <c r="CA82" s="36" t="s">
        <v>110</v>
      </c>
      <c r="CB82" s="36">
        <v>0.17849999999999999</v>
      </c>
      <c r="CC82" s="36"/>
      <c r="CD82" s="36"/>
      <c r="CE82" s="36" t="s">
        <v>110</v>
      </c>
      <c r="CF82" s="36">
        <v>7.4999999999999997E-3</v>
      </c>
      <c r="CG82" s="36"/>
      <c r="CH82" s="36"/>
      <c r="CI82" s="36" t="s">
        <v>110</v>
      </c>
      <c r="CJ82" s="36">
        <v>0.41699999999999998</v>
      </c>
      <c r="CK82" s="36"/>
      <c r="CL82" s="36"/>
    </row>
    <row r="83" spans="1:90" ht="15" thickBot="1" x14ac:dyDescent="0.35">
      <c r="A83" s="17"/>
      <c r="B83" s="14">
        <v>2020</v>
      </c>
      <c r="C83" s="33">
        <v>1817636</v>
      </c>
      <c r="D83" s="33">
        <v>79</v>
      </c>
      <c r="E83" s="29">
        <f>(D83/C83)*100000</f>
        <v>4.3463047606891587</v>
      </c>
      <c r="F83" s="4">
        <f>LN(E83)</f>
        <v>1.4693260037863953</v>
      </c>
      <c r="G83" s="16"/>
      <c r="H83" s="3"/>
      <c r="I83" s="3"/>
      <c r="J83" s="3"/>
      <c r="K83" s="34"/>
      <c r="L83" s="33">
        <v>1023239</v>
      </c>
      <c r="M83" s="33">
        <v>410</v>
      </c>
      <c r="N83" s="29">
        <f>(M83/L83)*100000</f>
        <v>40.068840222079103</v>
      </c>
      <c r="O83" s="4">
        <f>LN(N83)</f>
        <v>3.6905989804327946</v>
      </c>
      <c r="P83" s="16"/>
      <c r="Q83" s="3"/>
      <c r="R83" s="3"/>
      <c r="S83" s="3"/>
      <c r="T83" s="34"/>
      <c r="U83" s="33">
        <v>462394</v>
      </c>
      <c r="V83" s="33">
        <v>1243</v>
      </c>
      <c r="W83" s="29">
        <f>(V83/U83)*100000</f>
        <v>268.81836702033331</v>
      </c>
      <c r="X83" s="4">
        <f>LN(W83)</f>
        <v>5.594035936003368</v>
      </c>
      <c r="Y83" s="16"/>
      <c r="Z83" s="3"/>
      <c r="AA83" s="3"/>
      <c r="AB83" s="3"/>
      <c r="AC83" s="34"/>
      <c r="AE83" s="36" t="s">
        <v>109</v>
      </c>
      <c r="AF83" s="36">
        <v>-0.21629999999999999</v>
      </c>
      <c r="AG83" s="36"/>
      <c r="AH83" s="36"/>
      <c r="AI83" s="36" t="s">
        <v>109</v>
      </c>
      <c r="AJ83" s="36">
        <v>0.80649999999999999</v>
      </c>
      <c r="AK83" s="36"/>
      <c r="AL83" s="36"/>
      <c r="AM83" s="36" t="s">
        <v>109</v>
      </c>
      <c r="AN83" s="36">
        <v>0.82010000000000005</v>
      </c>
      <c r="AO83" s="36"/>
      <c r="AP83" s="36"/>
      <c r="AQ83" s="36" t="s">
        <v>109</v>
      </c>
      <c r="AR83" s="36">
        <v>-0.2215</v>
      </c>
      <c r="AS83" s="36"/>
      <c r="AT83" s="36"/>
      <c r="AU83" s="36" t="s">
        <v>109</v>
      </c>
      <c r="AV83" s="36">
        <v>0.52210000000000001</v>
      </c>
      <c r="AW83" s="36"/>
      <c r="AX83" s="36"/>
      <c r="AY83" s="36" t="s">
        <v>109</v>
      </c>
      <c r="AZ83" s="36">
        <v>0.96</v>
      </c>
      <c r="BA83" s="36"/>
      <c r="BB83" s="36"/>
      <c r="BC83" s="36" t="s">
        <v>109</v>
      </c>
      <c r="BD83" s="36">
        <v>0.27160000000000001</v>
      </c>
      <c r="BE83" s="36"/>
      <c r="BF83" s="36"/>
      <c r="BG83" s="36" t="s">
        <v>109</v>
      </c>
      <c r="BH83" s="36">
        <v>-0.15049999999999999</v>
      </c>
      <c r="BI83" s="36"/>
      <c r="BJ83" s="36"/>
      <c r="BK83" s="36" t="s">
        <v>109</v>
      </c>
      <c r="BL83" s="36">
        <v>0.2727</v>
      </c>
      <c r="BM83" s="36"/>
      <c r="BN83" s="36"/>
      <c r="BO83" s="36" t="s">
        <v>109</v>
      </c>
      <c r="BP83" s="36">
        <v>0.72270000000000001</v>
      </c>
      <c r="BQ83" s="36"/>
      <c r="BR83" s="36"/>
      <c r="BS83" s="36" t="s">
        <v>109</v>
      </c>
      <c r="BT83" s="36">
        <v>-9.8400000000000001E-2</v>
      </c>
      <c r="BU83" s="36"/>
      <c r="BV83" s="36"/>
      <c r="BW83" s="36" t="s">
        <v>109</v>
      </c>
      <c r="BX83" s="36">
        <v>0.37209999999999999</v>
      </c>
      <c r="BY83" s="36"/>
      <c r="BZ83" s="36"/>
      <c r="CA83" s="36" t="s">
        <v>109</v>
      </c>
      <c r="CB83" s="36">
        <v>-2.69E-2</v>
      </c>
      <c r="CC83" s="36"/>
      <c r="CD83" s="36"/>
      <c r="CE83" s="36" t="s">
        <v>109</v>
      </c>
      <c r="CF83" s="36">
        <v>-0.24060000000000001</v>
      </c>
      <c r="CG83" s="36"/>
      <c r="CH83" s="36"/>
      <c r="CI83" s="36" t="s">
        <v>109</v>
      </c>
      <c r="CJ83" s="36">
        <v>0.2712</v>
      </c>
      <c r="CK83" s="36"/>
      <c r="CL83" s="36"/>
    </row>
    <row r="84" spans="1:90" ht="15" thickBot="1" x14ac:dyDescent="0.35">
      <c r="A84" s="15"/>
      <c r="B84" s="14">
        <v>2021</v>
      </c>
      <c r="C84" s="33">
        <v>1873565</v>
      </c>
      <c r="D84" s="33">
        <v>80</v>
      </c>
      <c r="E84" s="29">
        <f>(D84/C84)*100000</f>
        <v>4.2699345899395</v>
      </c>
      <c r="F84" s="4">
        <f>LN(E84)</f>
        <v>1.451598508607864</v>
      </c>
      <c r="G84" s="13"/>
      <c r="H84" s="3"/>
      <c r="I84" s="3"/>
      <c r="J84" s="3"/>
      <c r="K84" s="32"/>
      <c r="L84" s="33">
        <v>1049126</v>
      </c>
      <c r="M84" s="33">
        <v>425</v>
      </c>
      <c r="N84" s="29">
        <f>(M84/L84)*100000</f>
        <v>40.50991015378515</v>
      </c>
      <c r="O84" s="4">
        <f>LN(N84)</f>
        <v>3.7015466393347056</v>
      </c>
      <c r="P84" s="13"/>
      <c r="Q84" s="3"/>
      <c r="R84" s="3"/>
      <c r="S84" s="3"/>
      <c r="T84" s="32"/>
      <c r="U84" s="33">
        <v>468428</v>
      </c>
      <c r="V84" s="33">
        <v>1308</v>
      </c>
      <c r="W84" s="29">
        <f>(V84/U84)*100000</f>
        <v>279.2318136405168</v>
      </c>
      <c r="X84" s="4">
        <f>LN(W84)</f>
        <v>5.632042310100756</v>
      </c>
      <c r="Y84" s="13"/>
      <c r="Z84" s="3"/>
      <c r="AA84" s="3"/>
      <c r="AB84" s="3"/>
      <c r="AC84" s="32"/>
      <c r="AE84" s="36" t="s">
        <v>108</v>
      </c>
      <c r="AF84" s="36">
        <v>0.1641</v>
      </c>
      <c r="AG84" s="36"/>
      <c r="AH84" s="36"/>
      <c r="AI84" s="36" t="s">
        <v>108</v>
      </c>
      <c r="AJ84" s="36">
        <v>0.9194</v>
      </c>
      <c r="AK84" s="36"/>
      <c r="AL84" s="36"/>
      <c r="AM84" s="36" t="s">
        <v>108</v>
      </c>
      <c r="AN84" s="36">
        <v>0.92520000000000002</v>
      </c>
      <c r="AO84" s="36"/>
      <c r="AP84" s="36"/>
      <c r="AQ84" s="36" t="s">
        <v>108</v>
      </c>
      <c r="AR84" s="36">
        <v>0.15090000000000001</v>
      </c>
      <c r="AS84" s="36"/>
      <c r="AT84" s="36"/>
      <c r="AU84" s="36" t="s">
        <v>108</v>
      </c>
      <c r="AV84" s="36">
        <v>0.78590000000000004</v>
      </c>
      <c r="AW84" s="36"/>
      <c r="AX84" s="36"/>
      <c r="AY84" s="36" t="s">
        <v>108</v>
      </c>
      <c r="AZ84" s="36">
        <v>0.9839</v>
      </c>
      <c r="BA84" s="36"/>
      <c r="BB84" s="36"/>
      <c r="BC84" s="36" t="s">
        <v>108</v>
      </c>
      <c r="BD84" s="36">
        <v>0.64600000000000002</v>
      </c>
      <c r="BE84" s="36"/>
      <c r="BF84" s="36"/>
      <c r="BG84" s="36" t="s">
        <v>108</v>
      </c>
      <c r="BH84" s="36">
        <v>0.28210000000000002</v>
      </c>
      <c r="BI84" s="36"/>
      <c r="BJ84" s="36"/>
      <c r="BK84" s="36" t="s">
        <v>108</v>
      </c>
      <c r="BL84" s="36">
        <v>0.64659999999999995</v>
      </c>
      <c r="BM84" s="36"/>
      <c r="BN84" s="36"/>
      <c r="BO84" s="36" t="s">
        <v>108</v>
      </c>
      <c r="BP84" s="36">
        <v>0.8821</v>
      </c>
      <c r="BQ84" s="36"/>
      <c r="BR84" s="36"/>
      <c r="BS84" s="36" t="s">
        <v>108</v>
      </c>
      <c r="BT84" s="36">
        <v>0.3483</v>
      </c>
      <c r="BU84" s="36"/>
      <c r="BV84" s="36"/>
      <c r="BW84" s="36" t="s">
        <v>108</v>
      </c>
      <c r="BX84" s="36">
        <v>0.70550000000000002</v>
      </c>
      <c r="BY84" s="36"/>
      <c r="BZ84" s="36"/>
      <c r="CA84" s="36" t="s">
        <v>108</v>
      </c>
      <c r="CB84" s="36">
        <v>0.42249999999999999</v>
      </c>
      <c r="CC84" s="36"/>
      <c r="CD84" s="36"/>
      <c r="CE84" s="36" t="s">
        <v>108</v>
      </c>
      <c r="CF84" s="36">
        <v>8.6499999999999994E-2</v>
      </c>
      <c r="CG84" s="36"/>
      <c r="CH84" s="36"/>
      <c r="CI84" s="36" t="s">
        <v>108</v>
      </c>
      <c r="CJ84" s="36">
        <v>0.64570000000000005</v>
      </c>
      <c r="CK84" s="36"/>
      <c r="CL84" s="36"/>
    </row>
    <row r="85" spans="1:90" ht="15" thickBot="1" x14ac:dyDescent="0.35">
      <c r="A85" s="12" t="s">
        <v>9</v>
      </c>
      <c r="B85" s="11">
        <v>2016</v>
      </c>
      <c r="C85" s="5">
        <v>460686</v>
      </c>
      <c r="D85" s="5">
        <v>16</v>
      </c>
      <c r="E85" s="29">
        <f>(D85/C85)*100000</f>
        <v>3.4730814481013099</v>
      </c>
      <c r="F85" s="4">
        <f>LN(E85)</f>
        <v>1.2450422252869218</v>
      </c>
      <c r="G85" s="10">
        <v>0.08</v>
      </c>
      <c r="H85" s="3">
        <f>(EXP(G85)-1)*100</f>
        <v>8.3287067674958628</v>
      </c>
      <c r="I85" s="3">
        <f>(EXP(-0.051)-1)*100</f>
        <v>-4.9721329467573021</v>
      </c>
      <c r="J85" s="3">
        <f>(EXP(0.211)-1)*100</f>
        <v>23.491235506139429</v>
      </c>
      <c r="K85" s="31">
        <v>0.16569999999999999</v>
      </c>
      <c r="L85" s="5">
        <v>228060</v>
      </c>
      <c r="M85" s="5">
        <v>126</v>
      </c>
      <c r="N85" s="29">
        <f>(M85/L85)*100000</f>
        <v>55.248618784530393</v>
      </c>
      <c r="O85" s="4">
        <f>LN(N85)</f>
        <v>4.0118433407103575</v>
      </c>
      <c r="P85" s="10">
        <v>2.7699999999999999E-2</v>
      </c>
      <c r="Q85" s="3">
        <f>(EXP(P85)-1)*100</f>
        <v>2.8087211989276994</v>
      </c>
      <c r="R85" s="3">
        <f>(EXP(-0.103)-1)*100</f>
        <v>-9.7873026518483499</v>
      </c>
      <c r="S85" s="3">
        <f>(EXP(0.159)-1)*100</f>
        <v>17.233794668071756</v>
      </c>
      <c r="T85" s="31">
        <v>0.58799999999999997</v>
      </c>
      <c r="U85" s="5">
        <v>88565</v>
      </c>
      <c r="V85" s="5">
        <v>290</v>
      </c>
      <c r="W85" s="29">
        <f>(V85/U85)*100000</f>
        <v>327.44312087167617</v>
      </c>
      <c r="X85" s="4">
        <f>LN(W85)</f>
        <v>5.7913143632640507</v>
      </c>
      <c r="Y85" s="10">
        <v>4.3400000000000001E-2</v>
      </c>
      <c r="Z85" s="3">
        <f>(EXP(Y85)-1)*100</f>
        <v>4.4355553534720871</v>
      </c>
      <c r="AA85" s="3">
        <f>(EXP(-0.028)-1)*100</f>
        <v>-2.7611633198753149</v>
      </c>
      <c r="AB85" s="3">
        <f>(EXP(0.115)-1)*100</f>
        <v>12.187343757193837</v>
      </c>
      <c r="AC85" s="31">
        <v>0.16520000000000001</v>
      </c>
      <c r="AE85" s="36" t="s">
        <v>90</v>
      </c>
      <c r="AF85" s="36">
        <v>0.93799999999999994</v>
      </c>
      <c r="AG85" s="36" t="s">
        <v>107</v>
      </c>
      <c r="AH85" s="36" t="s">
        <v>106</v>
      </c>
      <c r="AI85" s="36" t="s">
        <v>90</v>
      </c>
      <c r="AJ85" s="36">
        <v>3.1206999999999998</v>
      </c>
      <c r="AK85" s="36" t="s">
        <v>105</v>
      </c>
      <c r="AL85" s="36" t="s">
        <v>82</v>
      </c>
      <c r="AM85" s="36" t="s">
        <v>90</v>
      </c>
      <c r="AN85" s="36">
        <v>4.9672999999999998</v>
      </c>
      <c r="AO85" s="36" t="s">
        <v>104</v>
      </c>
      <c r="AP85" s="36" t="s">
        <v>82</v>
      </c>
      <c r="AQ85" s="36" t="s">
        <v>90</v>
      </c>
      <c r="AR85" s="36">
        <v>1.4053</v>
      </c>
      <c r="AS85" s="36" t="s">
        <v>103</v>
      </c>
      <c r="AT85" s="36" t="s">
        <v>82</v>
      </c>
      <c r="AU85" s="36" t="s">
        <v>90</v>
      </c>
      <c r="AV85" s="36">
        <v>3.4386999999999999</v>
      </c>
      <c r="AW85" s="36" t="s">
        <v>102</v>
      </c>
      <c r="AX85" s="36" t="s">
        <v>82</v>
      </c>
      <c r="AY85" s="36" t="s">
        <v>90</v>
      </c>
      <c r="AZ85" s="36">
        <v>5.1859999999999999</v>
      </c>
      <c r="BA85" s="36" t="s">
        <v>101</v>
      </c>
      <c r="BB85" s="36" t="s">
        <v>82</v>
      </c>
      <c r="BC85" s="36" t="s">
        <v>90</v>
      </c>
      <c r="BD85" s="36">
        <v>1.4</v>
      </c>
      <c r="BE85" s="36" t="s">
        <v>100</v>
      </c>
      <c r="BF85" s="36" t="s">
        <v>99</v>
      </c>
      <c r="BG85" s="36" t="s">
        <v>90</v>
      </c>
      <c r="BH85" s="36">
        <v>3.8813</v>
      </c>
      <c r="BI85" s="36" t="s">
        <v>98</v>
      </c>
      <c r="BJ85" s="36" t="s">
        <v>82</v>
      </c>
      <c r="BK85" s="36" t="s">
        <v>90</v>
      </c>
      <c r="BL85" s="36">
        <v>5.7847</v>
      </c>
      <c r="BM85" s="36" t="s">
        <v>97</v>
      </c>
      <c r="BN85" s="36" t="s">
        <v>82</v>
      </c>
      <c r="BO85" s="36" t="s">
        <v>90</v>
      </c>
      <c r="BP85" s="36">
        <v>1.6407</v>
      </c>
      <c r="BQ85" s="36" t="s">
        <v>96</v>
      </c>
      <c r="BR85" s="36" t="s">
        <v>82</v>
      </c>
      <c r="BS85" s="36" t="s">
        <v>90</v>
      </c>
      <c r="BT85" s="36">
        <v>3.98</v>
      </c>
      <c r="BU85" s="36" t="s">
        <v>95</v>
      </c>
      <c r="BV85" s="36" t="s">
        <v>82</v>
      </c>
      <c r="BW85" s="36" t="s">
        <v>90</v>
      </c>
      <c r="BX85" s="36">
        <v>5.9333</v>
      </c>
      <c r="BY85" s="36" t="s">
        <v>94</v>
      </c>
      <c r="BZ85" s="36" t="s">
        <v>82</v>
      </c>
      <c r="CA85" s="36" t="s">
        <v>90</v>
      </c>
      <c r="CB85" s="36">
        <v>1.7313000000000001</v>
      </c>
      <c r="CC85" s="36" t="s">
        <v>93</v>
      </c>
      <c r="CD85" s="36" t="s">
        <v>92</v>
      </c>
      <c r="CE85" s="36" t="s">
        <v>90</v>
      </c>
      <c r="CF85" s="36">
        <v>4.2119999999999997</v>
      </c>
      <c r="CG85" s="36" t="s">
        <v>91</v>
      </c>
      <c r="CH85" s="36" t="s">
        <v>82</v>
      </c>
      <c r="CI85" s="36" t="s">
        <v>90</v>
      </c>
      <c r="CJ85" s="36">
        <v>6.0833000000000004</v>
      </c>
      <c r="CK85" s="36" t="s">
        <v>89</v>
      </c>
      <c r="CL85" s="36" t="s">
        <v>82</v>
      </c>
    </row>
    <row r="86" spans="1:90" ht="15" thickBot="1" x14ac:dyDescent="0.35">
      <c r="A86" s="9"/>
      <c r="B86" s="6">
        <v>2017</v>
      </c>
      <c r="C86" s="5">
        <v>481242</v>
      </c>
      <c r="D86" s="5">
        <v>26</v>
      </c>
      <c r="E86" s="29">
        <f>(D86/C86)*100000</f>
        <v>5.4026872135017312</v>
      </c>
      <c r="F86" s="4">
        <f>LN(E86)</f>
        <v>1.6868964619223727</v>
      </c>
      <c r="G86" s="8"/>
      <c r="H86" s="3"/>
      <c r="I86" s="3"/>
      <c r="J86" s="3"/>
      <c r="K86" s="30"/>
      <c r="L86" s="5">
        <v>236917</v>
      </c>
      <c r="M86" s="5">
        <v>118</v>
      </c>
      <c r="N86" s="29">
        <f>(M86/L86)*100000</f>
        <v>49.806472308867662</v>
      </c>
      <c r="O86" s="4">
        <f>LN(N86)</f>
        <v>3.9081449416272722</v>
      </c>
      <c r="P86" s="8"/>
      <c r="Q86" s="3"/>
      <c r="R86" s="3"/>
      <c r="S86" s="3"/>
      <c r="T86" s="30"/>
      <c r="U86" s="5">
        <v>93490</v>
      </c>
      <c r="V86" s="5">
        <v>363</v>
      </c>
      <c r="W86" s="29">
        <f>(V86/U86)*100000</f>
        <v>388.27682105037974</v>
      </c>
      <c r="X86" s="4">
        <f>LN(W86)</f>
        <v>5.9617185415497183</v>
      </c>
      <c r="Y86" s="8"/>
      <c r="Z86" s="3"/>
      <c r="AA86" s="3"/>
      <c r="AB86" s="3"/>
      <c r="AC86" s="30"/>
      <c r="AE86" s="36" t="s">
        <v>72</v>
      </c>
      <c r="AF86" s="36">
        <v>1.34E-2</v>
      </c>
      <c r="AG86" s="36" t="s">
        <v>88</v>
      </c>
      <c r="AH86" s="36" t="s">
        <v>16</v>
      </c>
      <c r="AI86" s="36" t="s">
        <v>72</v>
      </c>
      <c r="AJ86" s="36">
        <v>5.74E-2</v>
      </c>
      <c r="AK86" s="36" t="s">
        <v>87</v>
      </c>
      <c r="AL86" s="36" t="s">
        <v>15</v>
      </c>
      <c r="AM86" s="36" t="s">
        <v>72</v>
      </c>
      <c r="AN86" s="36">
        <v>5.3100000000000001E-2</v>
      </c>
      <c r="AO86" s="36" t="s">
        <v>86</v>
      </c>
      <c r="AP86" s="36" t="s">
        <v>14</v>
      </c>
      <c r="AQ86" s="36" t="s">
        <v>72</v>
      </c>
      <c r="AR86" s="36">
        <v>9.4000000000000004E-3</v>
      </c>
      <c r="AS86" s="36" t="s">
        <v>85</v>
      </c>
      <c r="AT86" s="36" t="s">
        <v>12</v>
      </c>
      <c r="AU86" s="36" t="s">
        <v>72</v>
      </c>
      <c r="AV86" s="36">
        <v>4.5100000000000001E-2</v>
      </c>
      <c r="AW86" s="36" t="s">
        <v>84</v>
      </c>
      <c r="AX86" s="36" t="s">
        <v>11</v>
      </c>
      <c r="AY86" s="36" t="s">
        <v>72</v>
      </c>
      <c r="AZ86" s="36">
        <v>7.8299999999999995E-2</v>
      </c>
      <c r="BA86" s="36" t="s">
        <v>83</v>
      </c>
      <c r="BB86" s="36" t="s">
        <v>82</v>
      </c>
      <c r="BC86" s="36" t="s">
        <v>72</v>
      </c>
      <c r="BD86" s="36">
        <v>0.08</v>
      </c>
      <c r="BE86" s="36" t="s">
        <v>81</v>
      </c>
      <c r="BF86" s="36" t="s">
        <v>8</v>
      </c>
      <c r="BG86" s="36" t="s">
        <v>72</v>
      </c>
      <c r="BH86" s="36">
        <v>2.7699999999999999E-2</v>
      </c>
      <c r="BI86" s="36" t="s">
        <v>80</v>
      </c>
      <c r="BJ86" s="36" t="s">
        <v>7</v>
      </c>
      <c r="BK86" s="36" t="s">
        <v>72</v>
      </c>
      <c r="BL86" s="36">
        <v>4.3400000000000001E-2</v>
      </c>
      <c r="BM86" s="36" t="s">
        <v>79</v>
      </c>
      <c r="BN86" s="36" t="s">
        <v>6</v>
      </c>
      <c r="BO86" s="36" t="s">
        <v>72</v>
      </c>
      <c r="BP86" s="36">
        <v>4.1700000000000001E-2</v>
      </c>
      <c r="BQ86" s="36" t="s">
        <v>78</v>
      </c>
      <c r="BR86" s="36" t="s">
        <v>4</v>
      </c>
      <c r="BS86" s="36" t="s">
        <v>72</v>
      </c>
      <c r="BT86" s="36">
        <v>8.6E-3</v>
      </c>
      <c r="BU86" s="36" t="s">
        <v>77</v>
      </c>
      <c r="BV86" s="36" t="s">
        <v>3</v>
      </c>
      <c r="BW86" s="36" t="s">
        <v>72</v>
      </c>
      <c r="BX86" s="36">
        <v>1.5699999999999999E-2</v>
      </c>
      <c r="BY86" s="36" t="s">
        <v>76</v>
      </c>
      <c r="BZ86" s="36" t="s">
        <v>2</v>
      </c>
      <c r="CA86" s="36" t="s">
        <v>72</v>
      </c>
      <c r="CB86" s="36">
        <v>4.3400000000000001E-2</v>
      </c>
      <c r="CC86" s="36" t="s">
        <v>75</v>
      </c>
      <c r="CD86" s="36" t="s">
        <v>0</v>
      </c>
      <c r="CE86" s="36" t="s">
        <v>72</v>
      </c>
      <c r="CF86" s="36">
        <v>-2E-3</v>
      </c>
      <c r="CG86" s="36" t="s">
        <v>74</v>
      </c>
      <c r="CH86" s="36" t="s">
        <v>73</v>
      </c>
      <c r="CI86" s="36" t="s">
        <v>72</v>
      </c>
      <c r="CJ86" s="36">
        <v>1.7100000000000001E-2</v>
      </c>
      <c r="CK86" s="36" t="s">
        <v>71</v>
      </c>
      <c r="CL86" s="36" t="s">
        <v>70</v>
      </c>
    </row>
    <row r="87" spans="1:90" ht="15" thickBot="1" x14ac:dyDescent="0.35">
      <c r="A87" s="9"/>
      <c r="B87" s="6">
        <v>2018</v>
      </c>
      <c r="C87" s="5">
        <v>502376</v>
      </c>
      <c r="D87" s="5">
        <v>30</v>
      </c>
      <c r="E87" s="29">
        <f>(D87/C87)*100000</f>
        <v>5.971622848225234</v>
      </c>
      <c r="F87" s="4">
        <f>LN(E87)</f>
        <v>1.7870187243379512</v>
      </c>
      <c r="G87" s="8"/>
      <c r="H87" s="3"/>
      <c r="I87" s="3"/>
      <c r="J87" s="3"/>
      <c r="K87" s="30"/>
      <c r="L87" s="5">
        <v>246441</v>
      </c>
      <c r="M87" s="5">
        <v>103</v>
      </c>
      <c r="N87" s="29">
        <f>(M87/L87)*100000</f>
        <v>41.794993527862658</v>
      </c>
      <c r="O87" s="4">
        <f>LN(N87)</f>
        <v>3.7327765602967626</v>
      </c>
      <c r="P87" s="8"/>
      <c r="Q87" s="3"/>
      <c r="R87" s="3"/>
      <c r="S87" s="3"/>
      <c r="T87" s="30"/>
      <c r="U87" s="5">
        <v>98648</v>
      </c>
      <c r="V87" s="5">
        <v>319</v>
      </c>
      <c r="W87" s="29">
        <f>(V87/U87)*100000</f>
        <v>323.3719892952721</v>
      </c>
      <c r="X87" s="4">
        <f>LN(W87)</f>
        <v>5.778803330204707</v>
      </c>
      <c r="Y87" s="8"/>
      <c r="Z87" s="3"/>
      <c r="AA87" s="3"/>
      <c r="AB87" s="3"/>
      <c r="AC87" s="30"/>
      <c r="AE87" s="36" t="s">
        <v>55</v>
      </c>
      <c r="AF87" s="36" t="s">
        <v>69</v>
      </c>
      <c r="AG87" s="36"/>
      <c r="AH87" s="36"/>
      <c r="AI87" s="36" t="s">
        <v>55</v>
      </c>
      <c r="AJ87" s="36" t="s">
        <v>68</v>
      </c>
      <c r="AK87" s="36"/>
      <c r="AL87" s="36"/>
      <c r="AM87" s="36" t="s">
        <v>55</v>
      </c>
      <c r="AN87" s="36" t="s">
        <v>67</v>
      </c>
      <c r="AO87" s="36"/>
      <c r="AP87" s="36"/>
      <c r="AQ87" s="36" t="s">
        <v>55</v>
      </c>
      <c r="AR87" s="36" t="s">
        <v>66</v>
      </c>
      <c r="AS87" s="36"/>
      <c r="AT87" s="36"/>
      <c r="AU87" s="36" t="s">
        <v>55</v>
      </c>
      <c r="AV87" s="36" t="s">
        <v>65</v>
      </c>
      <c r="AW87" s="36"/>
      <c r="AX87" s="36"/>
      <c r="AY87" s="36" t="s">
        <v>55</v>
      </c>
      <c r="AZ87" s="36" t="s">
        <v>64</v>
      </c>
      <c r="BA87" s="36"/>
      <c r="BB87" s="36"/>
      <c r="BC87" s="36" t="s">
        <v>55</v>
      </c>
      <c r="BD87" s="36" t="s">
        <v>63</v>
      </c>
      <c r="BE87" s="36"/>
      <c r="BF87" s="36"/>
      <c r="BG87" s="36" t="s">
        <v>55</v>
      </c>
      <c r="BH87" s="36" t="s">
        <v>62</v>
      </c>
      <c r="BI87" s="36"/>
      <c r="BJ87" s="36"/>
      <c r="BK87" s="36" t="s">
        <v>55</v>
      </c>
      <c r="BL87" s="36" t="s">
        <v>61</v>
      </c>
      <c r="BM87" s="36"/>
      <c r="BN87" s="36"/>
      <c r="BO87" s="36" t="s">
        <v>55</v>
      </c>
      <c r="BP87" s="36" t="s">
        <v>60</v>
      </c>
      <c r="BQ87" s="36"/>
      <c r="BR87" s="36"/>
      <c r="BS87" s="36" t="s">
        <v>55</v>
      </c>
      <c r="BT87" s="36" t="s">
        <v>59</v>
      </c>
      <c r="BU87" s="36"/>
      <c r="BV87" s="36"/>
      <c r="BW87" s="36" t="s">
        <v>55</v>
      </c>
      <c r="BX87" s="36" t="s">
        <v>58</v>
      </c>
      <c r="BY87" s="36"/>
      <c r="BZ87" s="36"/>
      <c r="CA87" s="36" t="s">
        <v>55</v>
      </c>
      <c r="CB87" s="36" t="s">
        <v>57</v>
      </c>
      <c r="CC87" s="36"/>
      <c r="CD87" s="36"/>
      <c r="CE87" s="36" t="s">
        <v>55</v>
      </c>
      <c r="CF87" s="36" t="s">
        <v>56</v>
      </c>
      <c r="CG87" s="36"/>
      <c r="CH87" s="36"/>
      <c r="CI87" s="36" t="s">
        <v>55</v>
      </c>
      <c r="CJ87" s="36" t="s">
        <v>54</v>
      </c>
      <c r="CK87" s="36"/>
      <c r="CL87" s="36"/>
    </row>
    <row r="88" spans="1:90" ht="15" thickBot="1" x14ac:dyDescent="0.35">
      <c r="A88" s="9"/>
      <c r="B88" s="6">
        <v>2019</v>
      </c>
      <c r="C88" s="5">
        <v>524103</v>
      </c>
      <c r="D88" s="5">
        <v>30</v>
      </c>
      <c r="E88" s="29">
        <f>(D88/C88)*100000</f>
        <v>5.7240656893778512</v>
      </c>
      <c r="F88" s="4">
        <f>LN(E88)</f>
        <v>1.7446793377600542</v>
      </c>
      <c r="G88" s="8"/>
      <c r="H88" s="3"/>
      <c r="I88" s="3"/>
      <c r="J88" s="3"/>
      <c r="K88" s="30"/>
      <c r="L88" s="5">
        <v>256930</v>
      </c>
      <c r="M88" s="5">
        <v>141</v>
      </c>
      <c r="N88" s="29">
        <f>(M88/L88)*100000</f>
        <v>54.878760751955788</v>
      </c>
      <c r="O88" s="4">
        <f>LN(N88)</f>
        <v>4.0051264021123059</v>
      </c>
      <c r="P88" s="8"/>
      <c r="Q88" s="3"/>
      <c r="R88" s="3"/>
      <c r="S88" s="3"/>
      <c r="T88" s="30"/>
      <c r="U88" s="5">
        <v>103792</v>
      </c>
      <c r="V88" s="5">
        <v>436</v>
      </c>
      <c r="W88" s="29">
        <f>(V88/U88)*100000</f>
        <v>420.07091105287498</v>
      </c>
      <c r="X88" s="4">
        <f>LN(W88)</f>
        <v>6.0404235328664262</v>
      </c>
      <c r="Y88" s="8"/>
      <c r="Z88" s="3"/>
      <c r="AA88" s="3"/>
      <c r="AB88" s="3"/>
      <c r="AC88" s="30"/>
      <c r="AE88" s="36" t="s">
        <v>39</v>
      </c>
      <c r="AF88" s="36" t="s">
        <v>53</v>
      </c>
      <c r="AG88" s="36"/>
      <c r="AH88" s="36"/>
      <c r="AI88" s="36" t="s">
        <v>39</v>
      </c>
      <c r="AJ88" s="36" t="s">
        <v>52</v>
      </c>
      <c r="AK88" s="36"/>
      <c r="AL88" s="36"/>
      <c r="AM88" s="36" t="s">
        <v>39</v>
      </c>
      <c r="AN88" s="36" t="s">
        <v>51</v>
      </c>
      <c r="AO88" s="36"/>
      <c r="AP88" s="36"/>
      <c r="AQ88" s="36" t="s">
        <v>39</v>
      </c>
      <c r="AR88" s="36" t="s">
        <v>50</v>
      </c>
      <c r="AS88" s="36"/>
      <c r="AT88" s="36"/>
      <c r="AU88" s="36" t="s">
        <v>39</v>
      </c>
      <c r="AV88" s="36" t="s">
        <v>49</v>
      </c>
      <c r="AW88" s="36"/>
      <c r="AX88" s="36"/>
      <c r="AY88" s="36" t="s">
        <v>39</v>
      </c>
      <c r="AZ88" s="36" t="s">
        <v>48</v>
      </c>
      <c r="BA88" s="36"/>
      <c r="BB88" s="36"/>
      <c r="BC88" s="36" t="s">
        <v>39</v>
      </c>
      <c r="BD88" s="36" t="s">
        <v>47</v>
      </c>
      <c r="BE88" s="36"/>
      <c r="BF88" s="36"/>
      <c r="BG88" s="36" t="s">
        <v>39</v>
      </c>
      <c r="BH88" s="36" t="s">
        <v>46</v>
      </c>
      <c r="BI88" s="36"/>
      <c r="BJ88" s="36"/>
      <c r="BK88" s="36" t="s">
        <v>39</v>
      </c>
      <c r="BL88" s="36" t="s">
        <v>45</v>
      </c>
      <c r="BM88" s="36"/>
      <c r="BN88" s="36"/>
      <c r="BO88" s="36" t="s">
        <v>39</v>
      </c>
      <c r="BP88" s="36" t="s">
        <v>44</v>
      </c>
      <c r="BQ88" s="36"/>
      <c r="BR88" s="36"/>
      <c r="BS88" s="36" t="s">
        <v>39</v>
      </c>
      <c r="BT88" s="36" t="s">
        <v>43</v>
      </c>
      <c r="BU88" s="36"/>
      <c r="BV88" s="36"/>
      <c r="BW88" s="36" t="s">
        <v>39</v>
      </c>
      <c r="BX88" s="36" t="s">
        <v>42</v>
      </c>
      <c r="BY88" s="36"/>
      <c r="BZ88" s="36"/>
      <c r="CA88" s="36" t="s">
        <v>39</v>
      </c>
      <c r="CB88" s="36" t="s">
        <v>41</v>
      </c>
      <c r="CC88" s="36"/>
      <c r="CD88" s="36"/>
      <c r="CE88" s="36" t="s">
        <v>39</v>
      </c>
      <c r="CF88" s="36" t="s">
        <v>40</v>
      </c>
      <c r="CG88" s="36"/>
      <c r="CH88" s="36"/>
      <c r="CI88" s="36" t="s">
        <v>39</v>
      </c>
      <c r="CJ88" s="36" t="s">
        <v>38</v>
      </c>
      <c r="CK88" s="36"/>
      <c r="CL88" s="36"/>
    </row>
    <row r="89" spans="1:90" ht="15" thickBot="1" x14ac:dyDescent="0.35">
      <c r="A89" s="9"/>
      <c r="B89" s="6">
        <v>2020</v>
      </c>
      <c r="C89" s="5">
        <v>545142</v>
      </c>
      <c r="D89" s="5">
        <v>38</v>
      </c>
      <c r="E89" s="29">
        <f>(D89/C89)*100000</f>
        <v>6.9706608553367744</v>
      </c>
      <c r="F89" s="4">
        <f>LN(E89)</f>
        <v>1.9417100345298934</v>
      </c>
      <c r="G89" s="8"/>
      <c r="H89" s="3"/>
      <c r="I89" s="3"/>
      <c r="J89" s="3"/>
      <c r="K89" s="30"/>
      <c r="L89" s="5">
        <v>267312</v>
      </c>
      <c r="M89" s="5">
        <v>196</v>
      </c>
      <c r="N89" s="29">
        <f>(M89/L89)*100000</f>
        <v>73.322559406236905</v>
      </c>
      <c r="O89" s="4">
        <f>LN(N89)</f>
        <v>4.2948683297031858</v>
      </c>
      <c r="P89" s="8"/>
      <c r="Q89" s="3"/>
      <c r="R89" s="3"/>
      <c r="S89" s="3"/>
      <c r="T89" s="30"/>
      <c r="U89" s="5">
        <v>107883</v>
      </c>
      <c r="V89" s="5">
        <v>472</v>
      </c>
      <c r="W89" s="29">
        <f>(V89/U89)*100000</f>
        <v>437.51100729493987</v>
      </c>
      <c r="X89" s="4">
        <f>LN(W89)</f>
        <v>6.0811018650124646</v>
      </c>
      <c r="Y89" s="8"/>
      <c r="Z89" s="3"/>
      <c r="AA89" s="3"/>
      <c r="AB89" s="3"/>
      <c r="AC89" s="30"/>
      <c r="AE89" s="36" t="s">
        <v>37</v>
      </c>
      <c r="AF89" s="36" t="s">
        <v>36</v>
      </c>
      <c r="AG89" s="36"/>
      <c r="AH89" s="36"/>
      <c r="AI89" s="36" t="s">
        <v>37</v>
      </c>
      <c r="AJ89" s="36" t="s">
        <v>36</v>
      </c>
      <c r="AK89" s="36"/>
      <c r="AL89" s="36"/>
      <c r="AM89" s="36" t="s">
        <v>37</v>
      </c>
      <c r="AN89" s="36" t="s">
        <v>36</v>
      </c>
      <c r="AO89" s="36"/>
      <c r="AP89" s="36"/>
      <c r="AQ89" s="36" t="s">
        <v>37</v>
      </c>
      <c r="AR89" s="36" t="s">
        <v>36</v>
      </c>
      <c r="AS89" s="36"/>
      <c r="AT89" s="36"/>
      <c r="AU89" s="36" t="s">
        <v>37</v>
      </c>
      <c r="AV89" s="36" t="s">
        <v>36</v>
      </c>
      <c r="AW89" s="36"/>
      <c r="AX89" s="36"/>
      <c r="AY89" s="36" t="s">
        <v>37</v>
      </c>
      <c r="AZ89" s="36" t="s">
        <v>36</v>
      </c>
      <c r="BA89" s="36"/>
      <c r="BB89" s="36"/>
      <c r="BC89" s="36" t="s">
        <v>37</v>
      </c>
      <c r="BD89" s="36" t="s">
        <v>36</v>
      </c>
      <c r="BE89" s="36"/>
      <c r="BF89" s="36"/>
      <c r="BG89" s="36" t="s">
        <v>37</v>
      </c>
      <c r="BH89" s="36" t="s">
        <v>36</v>
      </c>
      <c r="BI89" s="36"/>
      <c r="BJ89" s="36"/>
      <c r="BK89" s="36" t="s">
        <v>37</v>
      </c>
      <c r="BL89" s="36" t="s">
        <v>36</v>
      </c>
      <c r="BM89" s="36"/>
      <c r="BN89" s="36"/>
      <c r="BO89" s="36" t="s">
        <v>37</v>
      </c>
      <c r="BP89" s="36" t="s">
        <v>36</v>
      </c>
      <c r="BQ89" s="36"/>
      <c r="BR89" s="36"/>
      <c r="BS89" s="36" t="s">
        <v>37</v>
      </c>
      <c r="BT89" s="36" t="s">
        <v>36</v>
      </c>
      <c r="BU89" s="36"/>
      <c r="BV89" s="36"/>
      <c r="BW89" s="36" t="s">
        <v>37</v>
      </c>
      <c r="BX89" s="36" t="s">
        <v>36</v>
      </c>
      <c r="BY89" s="36"/>
      <c r="BZ89" s="36"/>
      <c r="CA89" s="36" t="s">
        <v>37</v>
      </c>
      <c r="CB89" s="36" t="s">
        <v>36</v>
      </c>
      <c r="CC89" s="36"/>
      <c r="CD89" s="36"/>
      <c r="CE89" s="36" t="s">
        <v>37</v>
      </c>
      <c r="CF89" s="36" t="s">
        <v>36</v>
      </c>
      <c r="CG89" s="36"/>
      <c r="CH89" s="36"/>
      <c r="CI89" s="36" t="s">
        <v>37</v>
      </c>
      <c r="CJ89" s="36" t="s">
        <v>36</v>
      </c>
      <c r="CK89" s="36"/>
      <c r="CL89" s="36"/>
    </row>
    <row r="90" spans="1:90" ht="15" thickBot="1" x14ac:dyDescent="0.35">
      <c r="A90" s="7"/>
      <c r="B90" s="6">
        <v>2021</v>
      </c>
      <c r="C90" s="5">
        <v>563978</v>
      </c>
      <c r="D90" s="5">
        <v>30</v>
      </c>
      <c r="E90" s="29">
        <f>(D90/C90)*100000</f>
        <v>5.3193564287968682</v>
      </c>
      <c r="F90" s="4">
        <f>LN(E90)</f>
        <v>1.6713523240051829</v>
      </c>
      <c r="G90" s="2"/>
      <c r="H90" s="3"/>
      <c r="I90" s="3"/>
      <c r="J90" s="3"/>
      <c r="K90" s="28"/>
      <c r="L90" s="5">
        <v>276623</v>
      </c>
      <c r="M90" s="5">
        <v>140</v>
      </c>
      <c r="N90" s="29">
        <f>(M90/L90)*100000</f>
        <v>50.610397544672715</v>
      </c>
      <c r="O90" s="4">
        <f>LN(N90)</f>
        <v>3.9241570402568375</v>
      </c>
      <c r="P90" s="2"/>
      <c r="Q90" s="3"/>
      <c r="R90" s="3"/>
      <c r="S90" s="3"/>
      <c r="T90" s="28"/>
      <c r="U90" s="5">
        <v>110385</v>
      </c>
      <c r="V90" s="5">
        <v>433</v>
      </c>
      <c r="W90" s="29">
        <f>(V90/U90)*100000</f>
        <v>392.26344159079588</v>
      </c>
      <c r="X90" s="4">
        <f>LN(W90)</f>
        <v>5.9719336589439092</v>
      </c>
      <c r="Y90" s="2"/>
      <c r="Z90" s="3"/>
      <c r="AA90" s="3"/>
      <c r="AB90" s="3"/>
      <c r="AC90" s="28"/>
    </row>
    <row r="91" spans="1:90" ht="15" thickBot="1" x14ac:dyDescent="0.35">
      <c r="A91" s="19" t="s">
        <v>5</v>
      </c>
      <c r="B91" s="14">
        <v>2016</v>
      </c>
      <c r="C91" s="33">
        <v>3098421</v>
      </c>
      <c r="D91" s="33">
        <v>174</v>
      </c>
      <c r="E91" s="29">
        <f>(D91/C91)*100000</f>
        <v>5.6157636421906512</v>
      </c>
      <c r="F91" s="4">
        <f>LN(E91)</f>
        <v>1.7255775793333346</v>
      </c>
      <c r="G91" s="18">
        <v>4.1700000000000001E-2</v>
      </c>
      <c r="H91" s="3">
        <f>(EXP(G91)-1)*100</f>
        <v>4.2581657332696921</v>
      </c>
      <c r="I91" s="3">
        <f>(EXP(0.011)-1)*100</f>
        <v>1.1060722444719451</v>
      </c>
      <c r="J91" s="3">
        <f>(EXP(0.073)-1)*100</f>
        <v>7.5730536914703439</v>
      </c>
      <c r="K91" s="35">
        <v>0.02</v>
      </c>
      <c r="L91" s="33">
        <v>1509177</v>
      </c>
      <c r="M91" s="33">
        <v>853</v>
      </c>
      <c r="N91" s="29">
        <f>(M91/L91)*100000</f>
        <v>56.520871971942327</v>
      </c>
      <c r="O91" s="4">
        <f>LN(N91)</f>
        <v>4.034609985367922</v>
      </c>
      <c r="P91" s="18">
        <v>8.6E-3</v>
      </c>
      <c r="Q91" s="3">
        <f>(EXP(P91)-1)*100</f>
        <v>0.8637086237645919</v>
      </c>
      <c r="R91" s="3">
        <f>(EXP(-0.023)-1)*100</f>
        <v>-2.2737516226722931</v>
      </c>
      <c r="S91" s="3">
        <f>(EXP(0.041)-1)*100</f>
        <v>4.1852105545479468</v>
      </c>
      <c r="T91" s="35">
        <v>0.49869999999999998</v>
      </c>
      <c r="U91" s="33">
        <v>627354</v>
      </c>
      <c r="V91" s="33">
        <v>2445</v>
      </c>
      <c r="W91" s="29">
        <f>(V91/U91)*100000</f>
        <v>389.7321129697109</v>
      </c>
      <c r="X91" s="4">
        <f>LN(W91)</f>
        <v>5.9654596132855398</v>
      </c>
      <c r="Y91" s="18">
        <v>1.5699999999999999E-2</v>
      </c>
      <c r="Z91" s="3">
        <f>(EXP(Y91)-1)*100</f>
        <v>1.5823892521691585</v>
      </c>
      <c r="AA91" s="3">
        <f>(EXP(-0.006)-1)*100</f>
        <v>-0.59820359460647232</v>
      </c>
      <c r="AB91" s="3">
        <f>(EXP(0.038)-1)*100</f>
        <v>3.8731232878497668</v>
      </c>
      <c r="AC91" s="35">
        <v>0.1173</v>
      </c>
    </row>
    <row r="92" spans="1:90" ht="15" thickBot="1" x14ac:dyDescent="0.35">
      <c r="A92" s="17"/>
      <c r="B92" s="14">
        <v>2017</v>
      </c>
      <c r="C92" s="33">
        <v>3217066</v>
      </c>
      <c r="D92" s="33">
        <v>171</v>
      </c>
      <c r="E92" s="29">
        <f>(D92/C92)*100000</f>
        <v>5.3154022951347599</v>
      </c>
      <c r="F92" s="4">
        <f>LN(E92)</f>
        <v>1.6706086994534717</v>
      </c>
      <c r="G92" s="16"/>
      <c r="H92" s="3"/>
      <c r="I92" s="3"/>
      <c r="J92" s="3"/>
      <c r="K92" s="34"/>
      <c r="L92" s="33">
        <v>1567145</v>
      </c>
      <c r="M92" s="33">
        <v>849</v>
      </c>
      <c r="N92" s="29">
        <f>(M92/L92)*100000</f>
        <v>54.174948712467575</v>
      </c>
      <c r="O92" s="4">
        <f>LN(N92)</f>
        <v>3.9922186007208684</v>
      </c>
      <c r="P92" s="16"/>
      <c r="Q92" s="3"/>
      <c r="R92" s="3"/>
      <c r="S92" s="3"/>
      <c r="T92" s="34"/>
      <c r="U92" s="33">
        <v>652720</v>
      </c>
      <c r="V92" s="33">
        <v>2465</v>
      </c>
      <c r="W92" s="29">
        <f>(V92/U92)*100000</f>
        <v>377.65044735874494</v>
      </c>
      <c r="X92" s="4">
        <f>LN(W92)</f>
        <v>5.9339690253443367</v>
      </c>
      <c r="Y92" s="16"/>
      <c r="Z92" s="3"/>
      <c r="AA92" s="3"/>
      <c r="AB92" s="3"/>
      <c r="AC92" s="34"/>
    </row>
    <row r="93" spans="1:90" ht="15" thickBot="1" x14ac:dyDescent="0.35">
      <c r="A93" s="17"/>
      <c r="B93" s="14">
        <v>2018</v>
      </c>
      <c r="C93" s="33">
        <v>3334147</v>
      </c>
      <c r="D93" s="33">
        <v>194</v>
      </c>
      <c r="E93" s="29">
        <f>(D93/C93)*100000</f>
        <v>5.8185796846989648</v>
      </c>
      <c r="F93" s="4">
        <f>LN(E93)</f>
        <v>1.7610561915309042</v>
      </c>
      <c r="G93" s="16"/>
      <c r="H93" s="3"/>
      <c r="I93" s="3"/>
      <c r="J93" s="3"/>
      <c r="K93" s="34"/>
      <c r="L93" s="33">
        <v>1630812</v>
      </c>
      <c r="M93" s="33">
        <v>841</v>
      </c>
      <c r="N93" s="29">
        <f>(M93/L93)*100000</f>
        <v>51.569402236431905</v>
      </c>
      <c r="O93" s="4">
        <f>LN(N93)</f>
        <v>3.9429285166912842</v>
      </c>
      <c r="P93" s="16"/>
      <c r="Q93" s="3"/>
      <c r="R93" s="3"/>
      <c r="S93" s="3"/>
      <c r="T93" s="34"/>
      <c r="U93" s="33">
        <v>679237</v>
      </c>
      <c r="V93" s="33">
        <v>2640</v>
      </c>
      <c r="W93" s="29">
        <f>(V93/U93)*100000</f>
        <v>388.67140629853793</v>
      </c>
      <c r="X93" s="4">
        <f>LN(W93)</f>
        <v>5.962734272761125</v>
      </c>
      <c r="Y93" s="16"/>
      <c r="Z93" s="3"/>
      <c r="AA93" s="3"/>
      <c r="AB93" s="3"/>
      <c r="AC93" s="34"/>
    </row>
    <row r="94" spans="1:90" ht="15" thickBot="1" x14ac:dyDescent="0.35">
      <c r="A94" s="17"/>
      <c r="B94" s="14">
        <v>2019</v>
      </c>
      <c r="C94" s="33">
        <v>3448559</v>
      </c>
      <c r="D94" s="33">
        <v>204</v>
      </c>
      <c r="E94" s="29">
        <f>(D94/C94)*100000</f>
        <v>5.9155142771227061</v>
      </c>
      <c r="F94" s="4">
        <f>LN(E94)</f>
        <v>1.7775784382193951</v>
      </c>
      <c r="G94" s="16"/>
      <c r="H94" s="3"/>
      <c r="I94" s="3"/>
      <c r="J94" s="3"/>
      <c r="K94" s="34"/>
      <c r="L94" s="33">
        <v>1700799</v>
      </c>
      <c r="M94" s="33">
        <v>962</v>
      </c>
      <c r="N94" s="29">
        <f>(M94/L94)*100000</f>
        <v>56.561651317998191</v>
      </c>
      <c r="O94" s="4">
        <f>LN(N94)</f>
        <v>4.0353312170248952</v>
      </c>
      <c r="P94" s="16"/>
      <c r="Q94" s="3"/>
      <c r="R94" s="3"/>
      <c r="S94" s="3"/>
      <c r="T94" s="34"/>
      <c r="U94" s="33">
        <v>705559</v>
      </c>
      <c r="V94" s="33">
        <v>2950</v>
      </c>
      <c r="W94" s="29">
        <f>(V94/U94)*100000</f>
        <v>418.10819506235481</v>
      </c>
      <c r="X94" s="4">
        <f>LN(W94)</f>
        <v>6.0357402388935917</v>
      </c>
      <c r="Y94" s="16"/>
      <c r="Z94" s="3"/>
      <c r="AA94" s="3"/>
      <c r="AB94" s="3"/>
      <c r="AC94" s="34"/>
    </row>
    <row r="95" spans="1:90" ht="15" thickBot="1" x14ac:dyDescent="0.35">
      <c r="A95" s="17"/>
      <c r="B95" s="14">
        <v>2020</v>
      </c>
      <c r="C95" s="33">
        <v>3552904</v>
      </c>
      <c r="D95" s="33">
        <v>238</v>
      </c>
      <c r="E95" s="29">
        <f>(D95/C95)*100000</f>
        <v>6.6987455895233863</v>
      </c>
      <c r="F95" s="4">
        <f>LN(E95)</f>
        <v>1.9019202834237783</v>
      </c>
      <c r="G95" s="16"/>
      <c r="H95" s="3"/>
      <c r="I95" s="3"/>
      <c r="J95" s="3"/>
      <c r="K95" s="34"/>
      <c r="L95" s="33">
        <v>1771619</v>
      </c>
      <c r="M95" s="33">
        <v>954</v>
      </c>
      <c r="N95" s="29">
        <f>(M95/L95)*100000</f>
        <v>53.849049936809209</v>
      </c>
      <c r="O95" s="4">
        <f>LN(N95)</f>
        <v>3.9861847606762737</v>
      </c>
      <c r="P95" s="16"/>
      <c r="Q95" s="3"/>
      <c r="R95" s="3"/>
      <c r="S95" s="3"/>
      <c r="T95" s="34"/>
      <c r="U95" s="33">
        <v>727069</v>
      </c>
      <c r="V95" s="33">
        <v>2988</v>
      </c>
      <c r="W95" s="29">
        <f>(V95/U95)*100000</f>
        <v>410.96512160468956</v>
      </c>
      <c r="X95" s="4">
        <f>LN(W95)</f>
        <v>6.0185083486195339</v>
      </c>
      <c r="Y95" s="16"/>
      <c r="Z95" s="3"/>
      <c r="AA95" s="3"/>
      <c r="AB95" s="3"/>
      <c r="AC95" s="34"/>
    </row>
    <row r="96" spans="1:90" ht="15" thickBot="1" x14ac:dyDescent="0.35">
      <c r="A96" s="15"/>
      <c r="B96" s="14">
        <v>2021</v>
      </c>
      <c r="C96" s="33">
        <v>3639386</v>
      </c>
      <c r="D96" s="33">
        <v>238</v>
      </c>
      <c r="E96" s="29">
        <f>(D96/C96)*100000</f>
        <v>6.5395646408487584</v>
      </c>
      <c r="F96" s="4">
        <f>LN(E96)</f>
        <v>1.8778705945757548</v>
      </c>
      <c r="G96" s="13"/>
      <c r="H96" s="3"/>
      <c r="I96" s="3"/>
      <c r="J96" s="3"/>
      <c r="K96" s="32"/>
      <c r="L96" s="33">
        <v>1836482</v>
      </c>
      <c r="M96" s="33">
        <v>1076</v>
      </c>
      <c r="N96" s="29">
        <f>(M96/L96)*100000</f>
        <v>58.590282943148914</v>
      </c>
      <c r="O96" s="4">
        <f>LN(N96)</f>
        <v>4.0705688627505143</v>
      </c>
      <c r="P96" s="13"/>
      <c r="Q96" s="3"/>
      <c r="R96" s="3"/>
      <c r="S96" s="3"/>
      <c r="T96" s="32"/>
      <c r="U96" s="33">
        <v>739972</v>
      </c>
      <c r="V96" s="33">
        <v>3029</v>
      </c>
      <c r="W96" s="29">
        <f>(V96/U96)*100000</f>
        <v>409.33981285778384</v>
      </c>
      <c r="X96" s="4">
        <f>LN(W96)</f>
        <v>6.0145456493708203</v>
      </c>
      <c r="Y96" s="13"/>
      <c r="Z96" s="3"/>
      <c r="AA96" s="3"/>
      <c r="AB96" s="3"/>
      <c r="AC96" s="32"/>
    </row>
    <row r="97" spans="1:29" ht="15" thickBot="1" x14ac:dyDescent="0.35">
      <c r="A97" s="12" t="s">
        <v>1</v>
      </c>
      <c r="B97" s="11">
        <v>2016</v>
      </c>
      <c r="C97" s="5">
        <v>1121728</v>
      </c>
      <c r="D97" s="5">
        <v>65</v>
      </c>
      <c r="E97" s="29">
        <f>(D97/C97)*100000</f>
        <v>5.7946311405260458</v>
      </c>
      <c r="F97" s="4">
        <f>LN(E97)</f>
        <v>1.7569318234330178</v>
      </c>
      <c r="G97" s="10">
        <v>4.3400000000000001E-2</v>
      </c>
      <c r="H97" s="3">
        <f>(EXP(G97)-1)*100</f>
        <v>4.4355553534720871</v>
      </c>
      <c r="I97" s="3">
        <f>(EXP(-0.086)-1)*100</f>
        <v>-8.2405768779849069</v>
      </c>
      <c r="J97" s="3">
        <f>(EXP(0.173)-1)*100</f>
        <v>18.886610508403212</v>
      </c>
      <c r="K97" s="31">
        <v>0.40400000000000003</v>
      </c>
      <c r="L97" s="5">
        <v>540692</v>
      </c>
      <c r="M97" s="5">
        <v>354</v>
      </c>
      <c r="N97" s="29">
        <f>(M97/L97)*100000</f>
        <v>65.471654842313185</v>
      </c>
      <c r="O97" s="4">
        <f>LN(N97)</f>
        <v>4.1816172984786508</v>
      </c>
      <c r="P97" s="10">
        <v>-2E-3</v>
      </c>
      <c r="Q97" s="3">
        <f>(EXP(P97)-1)*100</f>
        <v>-0.1998001332666921</v>
      </c>
      <c r="R97" s="3">
        <f>(EXP(-0.034)-1)*100</f>
        <v>-3.3428495362493371</v>
      </c>
      <c r="S97" s="3">
        <f>(EXP(0.03)-1)*100</f>
        <v>3.0454533953516938</v>
      </c>
      <c r="T97" s="31">
        <v>0.87050000000000005</v>
      </c>
      <c r="U97" s="5">
        <v>202196</v>
      </c>
      <c r="V97" s="5">
        <v>905</v>
      </c>
      <c r="W97" s="29">
        <f>(V97/U97)*100000</f>
        <v>447.585511088251</v>
      </c>
      <c r="X97" s="4">
        <f>LN(W97)</f>
        <v>6.10386760569099</v>
      </c>
      <c r="Y97" s="10">
        <v>1.7100000000000001E-2</v>
      </c>
      <c r="Z97" s="3">
        <f>(EXP(Y97)-1)*100</f>
        <v>1.7247041943369457</v>
      </c>
      <c r="AA97" s="3">
        <f>(EXP(-0.011)-1)*100</f>
        <v>-1.0939721224631271</v>
      </c>
      <c r="AB97" s="3">
        <f>(EXP(0.045)-1)*100</f>
        <v>4.6027859908716939</v>
      </c>
      <c r="AC97" s="31">
        <v>0.16589999999999999</v>
      </c>
    </row>
    <row r="98" spans="1:29" ht="15" thickBot="1" x14ac:dyDescent="0.35">
      <c r="A98" s="9"/>
      <c r="B98" s="6">
        <v>2017</v>
      </c>
      <c r="C98" s="5">
        <v>1164751</v>
      </c>
      <c r="D98" s="5">
        <v>68</v>
      </c>
      <c r="E98" s="29">
        <f>(D98/C98)*100000</f>
        <v>5.8381576834877151</v>
      </c>
      <c r="F98" s="4">
        <f>LN(E98)</f>
        <v>1.7644152819143228</v>
      </c>
      <c r="G98" s="8"/>
      <c r="H98" s="3"/>
      <c r="I98" s="3"/>
      <c r="J98" s="3"/>
      <c r="K98" s="30"/>
      <c r="L98" s="5">
        <v>565186</v>
      </c>
      <c r="M98" s="5">
        <v>378</v>
      </c>
      <c r="N98" s="29">
        <f>(M98/L98)*100000</f>
        <v>66.880637524637905</v>
      </c>
      <c r="O98" s="4">
        <f>LN(N98)</f>
        <v>4.202909501097011</v>
      </c>
      <c r="P98" s="8"/>
      <c r="Q98" s="3"/>
      <c r="R98" s="3"/>
      <c r="S98" s="3"/>
      <c r="T98" s="30"/>
      <c r="U98" s="5">
        <v>211126</v>
      </c>
      <c r="V98" s="5">
        <v>929</v>
      </c>
      <c r="W98" s="29">
        <f>(V98/U98)*100000</f>
        <v>440.02159847673897</v>
      </c>
      <c r="X98" s="4">
        <f>LN(W98)</f>
        <v>6.0868238131546919</v>
      </c>
      <c r="Y98" s="8"/>
      <c r="Z98" s="3"/>
      <c r="AA98" s="3"/>
      <c r="AB98" s="3"/>
      <c r="AC98" s="30"/>
    </row>
    <row r="99" spans="1:29" ht="15" thickBot="1" x14ac:dyDescent="0.35">
      <c r="A99" s="9"/>
      <c r="B99" s="6">
        <v>2018</v>
      </c>
      <c r="C99" s="5">
        <v>1207694</v>
      </c>
      <c r="D99" s="5">
        <v>82</v>
      </c>
      <c r="E99" s="29">
        <f>(D99/C99)*100000</f>
        <v>6.7897994028288631</v>
      </c>
      <c r="F99" s="4">
        <f>LN(E99)</f>
        <v>1.9154213981045782</v>
      </c>
      <c r="G99" s="8"/>
      <c r="H99" s="3"/>
      <c r="I99" s="3"/>
      <c r="J99" s="3"/>
      <c r="K99" s="30"/>
      <c r="L99" s="5">
        <v>591788</v>
      </c>
      <c r="M99" s="5">
        <v>412</v>
      </c>
      <c r="N99" s="29">
        <f>(M99/L99)*100000</f>
        <v>69.619525911306084</v>
      </c>
      <c r="O99" s="4">
        <f>LN(N99)</f>
        <v>4.2430450726977407</v>
      </c>
      <c r="P99" s="8"/>
      <c r="Q99" s="3"/>
      <c r="R99" s="3"/>
      <c r="S99" s="3"/>
      <c r="T99" s="30"/>
      <c r="U99" s="5">
        <v>220651</v>
      </c>
      <c r="V99" s="5">
        <v>1071</v>
      </c>
      <c r="W99" s="29">
        <f>(V99/U99)*100000</f>
        <v>485.38189267213841</v>
      </c>
      <c r="X99" s="4">
        <f>LN(W99)</f>
        <v>6.1849359886661981</v>
      </c>
      <c r="Y99" s="8"/>
      <c r="Z99" s="3"/>
      <c r="AA99" s="3"/>
      <c r="AB99" s="3"/>
      <c r="AC99" s="30"/>
    </row>
    <row r="100" spans="1:29" ht="15" thickBot="1" x14ac:dyDescent="0.35">
      <c r="A100" s="9"/>
      <c r="B100" s="6">
        <v>2019</v>
      </c>
      <c r="C100" s="5">
        <v>1250810</v>
      </c>
      <c r="D100" s="5">
        <v>104</v>
      </c>
      <c r="E100" s="29">
        <f>(D100/C100)*100000</f>
        <v>8.3146121313388921</v>
      </c>
      <c r="F100" s="4">
        <f>LN(E100)</f>
        <v>2.1180144646944621</v>
      </c>
      <c r="G100" s="8"/>
      <c r="H100" s="3"/>
      <c r="I100" s="3"/>
      <c r="J100" s="3"/>
      <c r="K100" s="30"/>
      <c r="L100" s="5">
        <v>620479</v>
      </c>
      <c r="M100" s="5">
        <v>442</v>
      </c>
      <c r="N100" s="29">
        <f>(M100/L100)*100000</f>
        <v>71.235287576211292</v>
      </c>
      <c r="O100" s="4">
        <f>LN(N100)</f>
        <v>4.2659883076682936</v>
      </c>
      <c r="P100" s="8"/>
      <c r="Q100" s="3"/>
      <c r="R100" s="3"/>
      <c r="S100" s="3"/>
      <c r="T100" s="30"/>
      <c r="U100" s="5">
        <v>230812</v>
      </c>
      <c r="V100" s="5">
        <v>1099</v>
      </c>
      <c r="W100" s="29">
        <f>(V100/U100)*100000</f>
        <v>476.14508777706533</v>
      </c>
      <c r="X100" s="4">
        <f>LN(W100)</f>
        <v>6.16572261404177</v>
      </c>
      <c r="Y100" s="8"/>
      <c r="Z100" s="3"/>
      <c r="AA100" s="3"/>
      <c r="AB100" s="3"/>
      <c r="AC100" s="30"/>
    </row>
    <row r="101" spans="1:29" ht="15" thickBot="1" x14ac:dyDescent="0.35">
      <c r="A101" s="9"/>
      <c r="B101" s="6">
        <v>2020</v>
      </c>
      <c r="C101" s="5">
        <v>1292593</v>
      </c>
      <c r="D101" s="5">
        <v>67</v>
      </c>
      <c r="E101" s="29">
        <f>(D101/C101)*100000</f>
        <v>5.1833794550953005</v>
      </c>
      <c r="F101" s="4">
        <f>LN(E101)</f>
        <v>1.6454572480066711</v>
      </c>
      <c r="G101" s="8"/>
      <c r="H101" s="3"/>
      <c r="I101" s="3"/>
      <c r="J101" s="3"/>
      <c r="K101" s="30"/>
      <c r="L101" s="5">
        <v>650058</v>
      </c>
      <c r="M101" s="5">
        <v>412</v>
      </c>
      <c r="N101" s="29">
        <f>(M101/L101)*100000</f>
        <v>63.378960031258742</v>
      </c>
      <c r="O101" s="4">
        <f>LN(N101)</f>
        <v>4.1491319456595326</v>
      </c>
      <c r="P101" s="8"/>
      <c r="Q101" s="3"/>
      <c r="R101" s="3"/>
      <c r="S101" s="3"/>
      <c r="T101" s="30"/>
      <c r="U101" s="5">
        <v>240775</v>
      </c>
      <c r="V101" s="5">
        <v>1087</v>
      </c>
      <c r="W101" s="29">
        <f>(V101/U101)*100000</f>
        <v>451.45883085868547</v>
      </c>
      <c r="X101" s="4">
        <f>LN(W101)</f>
        <v>6.1124841856623728</v>
      </c>
      <c r="Y101" s="8"/>
      <c r="Z101" s="3"/>
      <c r="AA101" s="3"/>
      <c r="AB101" s="3"/>
      <c r="AC101" s="30"/>
    </row>
    <row r="102" spans="1:29" ht="15" thickBot="1" x14ac:dyDescent="0.35">
      <c r="A102" s="7"/>
      <c r="B102" s="6">
        <v>2021</v>
      </c>
      <c r="C102" s="5">
        <v>1329131</v>
      </c>
      <c r="D102" s="5">
        <v>107</v>
      </c>
      <c r="E102" s="29">
        <f>(D102/C102)*100000</f>
        <v>8.0503727623537475</v>
      </c>
      <c r="F102" s="4">
        <f>LN(E102)</f>
        <v>2.085718396240841</v>
      </c>
      <c r="G102" s="2"/>
      <c r="H102" s="3"/>
      <c r="I102" s="3"/>
      <c r="J102" s="3"/>
      <c r="K102" s="28"/>
      <c r="L102" s="5">
        <v>676778</v>
      </c>
      <c r="M102" s="5">
        <v>448</v>
      </c>
      <c r="N102" s="29">
        <f>(M102/L102)*100000</f>
        <v>66.19600518929397</v>
      </c>
      <c r="O102" s="4">
        <f>LN(N102)</f>
        <v>4.1926201165495574</v>
      </c>
      <c r="P102" s="2"/>
      <c r="Q102" s="3"/>
      <c r="R102" s="3"/>
      <c r="S102" s="3"/>
      <c r="T102" s="28"/>
      <c r="U102" s="5">
        <v>247983</v>
      </c>
      <c r="V102" s="5">
        <v>1235</v>
      </c>
      <c r="W102" s="29">
        <f>(V102/U102)*100000</f>
        <v>498.01800929902458</v>
      </c>
      <c r="X102" s="4">
        <f>LN(W102)</f>
        <v>6.2106362396218318</v>
      </c>
      <c r="Y102" s="2"/>
      <c r="Z102" s="3"/>
      <c r="AA102" s="3"/>
      <c r="AB102" s="3"/>
      <c r="AC102" s="28"/>
    </row>
    <row r="105" spans="1:29" ht="15" thickBot="1" x14ac:dyDescent="0.35"/>
    <row r="106" spans="1:29" ht="15" thickBot="1" x14ac:dyDescent="0.35">
      <c r="A106" s="27" t="s">
        <v>35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5"/>
    </row>
    <row r="107" spans="1:29" ht="15" thickBot="1" x14ac:dyDescent="0.35">
      <c r="A107" s="27" t="s">
        <v>34</v>
      </c>
      <c r="B107" s="25"/>
      <c r="C107" s="27" t="s">
        <v>33</v>
      </c>
      <c r="D107" s="26"/>
      <c r="E107" s="26"/>
      <c r="F107" s="26"/>
      <c r="G107" s="26"/>
      <c r="H107" s="26"/>
      <c r="I107" s="26"/>
      <c r="J107" s="26"/>
      <c r="K107" s="25"/>
      <c r="L107" s="27" t="s">
        <v>32</v>
      </c>
      <c r="M107" s="26"/>
      <c r="N107" s="26"/>
      <c r="O107" s="26"/>
      <c r="P107" s="26"/>
      <c r="Q107" s="26"/>
      <c r="R107" s="26"/>
      <c r="S107" s="26"/>
      <c r="T107" s="25"/>
      <c r="U107" s="27" t="s">
        <v>31</v>
      </c>
      <c r="V107" s="26"/>
      <c r="W107" s="26"/>
      <c r="X107" s="26"/>
      <c r="Y107" s="26"/>
      <c r="Z107" s="26"/>
      <c r="AA107" s="26"/>
      <c r="AB107" s="26"/>
      <c r="AC107" s="25"/>
    </row>
    <row r="108" spans="1:29" ht="19.8" thickBot="1" x14ac:dyDescent="0.35">
      <c r="A108" s="24" t="s">
        <v>30</v>
      </c>
      <c r="B108" s="20" t="s">
        <v>29</v>
      </c>
      <c r="C108" s="20" t="s">
        <v>26</v>
      </c>
      <c r="D108" s="20" t="s">
        <v>25</v>
      </c>
      <c r="E108" s="20" t="s">
        <v>24</v>
      </c>
      <c r="F108" s="22" t="s">
        <v>23</v>
      </c>
      <c r="G108" s="20" t="s">
        <v>22</v>
      </c>
      <c r="H108" s="21" t="s">
        <v>21</v>
      </c>
      <c r="I108" s="20" t="s">
        <v>20</v>
      </c>
      <c r="J108" s="20" t="s">
        <v>19</v>
      </c>
      <c r="K108" s="20" t="s">
        <v>18</v>
      </c>
      <c r="L108" s="20" t="s">
        <v>28</v>
      </c>
      <c r="M108" s="23" t="s">
        <v>27</v>
      </c>
      <c r="N108" s="20" t="s">
        <v>24</v>
      </c>
      <c r="O108" s="22" t="s">
        <v>23</v>
      </c>
      <c r="P108" s="20" t="s">
        <v>22</v>
      </c>
      <c r="Q108" s="21" t="s">
        <v>21</v>
      </c>
      <c r="R108" s="20" t="s">
        <v>20</v>
      </c>
      <c r="S108" s="20" t="s">
        <v>19</v>
      </c>
      <c r="T108" s="20" t="s">
        <v>18</v>
      </c>
      <c r="U108" s="20" t="s">
        <v>26</v>
      </c>
      <c r="V108" s="20" t="s">
        <v>25</v>
      </c>
      <c r="W108" s="20" t="s">
        <v>24</v>
      </c>
      <c r="X108" s="22" t="s">
        <v>23</v>
      </c>
      <c r="Y108" s="20" t="s">
        <v>22</v>
      </c>
      <c r="Z108" s="21" t="s">
        <v>21</v>
      </c>
      <c r="AA108" s="20" t="s">
        <v>20</v>
      </c>
      <c r="AB108" s="20" t="s">
        <v>19</v>
      </c>
      <c r="AC108" s="20" t="s">
        <v>18</v>
      </c>
    </row>
    <row r="109" spans="1:29" ht="15" thickBot="1" x14ac:dyDescent="0.35">
      <c r="A109" s="12" t="s">
        <v>17</v>
      </c>
      <c r="B109" s="11">
        <v>2016</v>
      </c>
      <c r="C109" s="5">
        <f>C37+C73</f>
        <v>826943</v>
      </c>
      <c r="D109" s="5">
        <f>D37+D73</f>
        <v>26</v>
      </c>
      <c r="E109" s="4">
        <f>(D109/C109)*100000</f>
        <v>3.144110295389162</v>
      </c>
      <c r="F109" s="4">
        <f>LN(E109)</f>
        <v>1.1455309551822777</v>
      </c>
      <c r="G109" s="10">
        <v>1.34E-2</v>
      </c>
      <c r="H109" s="3">
        <f>(EXP(G109)-1)*100</f>
        <v>1.3490182364349845</v>
      </c>
      <c r="I109" s="3">
        <f>(EXP(-0.099)-1)*100</f>
        <v>-9.4257291976451505</v>
      </c>
      <c r="J109" s="3">
        <f>(EXP(0.125)-1)*100</f>
        <v>13.314845306682631</v>
      </c>
      <c r="K109" s="10" t="s">
        <v>16</v>
      </c>
      <c r="L109" s="5">
        <f>L37+L73</f>
        <v>415567</v>
      </c>
      <c r="M109" s="5">
        <f>M37+M73</f>
        <v>112</v>
      </c>
      <c r="N109" s="4">
        <f>(M109/L109)*100000</f>
        <v>26.951129420767288</v>
      </c>
      <c r="O109" s="4">
        <f>LN(N109)</f>
        <v>3.2940252044830975</v>
      </c>
      <c r="P109" s="10">
        <v>5.74E-2</v>
      </c>
      <c r="Q109" s="3">
        <f>(EXP(P109)-1)*100</f>
        <v>5.9079357423416523</v>
      </c>
      <c r="R109" s="3">
        <f>(EXP(0.023)-1)*100</f>
        <v>2.326653954721758</v>
      </c>
      <c r="S109" s="3">
        <f>(EXP(0.092)-1)*100</f>
        <v>9.6364822080816879</v>
      </c>
      <c r="T109" s="10" t="s">
        <v>15</v>
      </c>
      <c r="U109" s="5">
        <f>U37+U73</f>
        <v>181861</v>
      </c>
      <c r="V109" s="5">
        <f>V37+V73</f>
        <v>326</v>
      </c>
      <c r="W109" s="4">
        <f>(V109/U109)*100000</f>
        <v>179.25778479168156</v>
      </c>
      <c r="X109" s="4">
        <f>LN(W109)</f>
        <v>5.1888249083368594</v>
      </c>
      <c r="Y109" s="10">
        <v>5.3100000000000001E-2</v>
      </c>
      <c r="Z109" s="3">
        <f>(EXP(Y109)-1)*100</f>
        <v>5.4535093356191888</v>
      </c>
      <c r="AA109" s="3">
        <f>(EXP(0.023)-1)*100</f>
        <v>2.326653954721758</v>
      </c>
      <c r="AB109" s="3">
        <f>(EXP(0.083)-1)*100</f>
        <v>8.6541808548238119</v>
      </c>
      <c r="AC109" s="10" t="s">
        <v>14</v>
      </c>
    </row>
    <row r="110" spans="1:29" ht="15" thickBot="1" x14ac:dyDescent="0.35">
      <c r="A110" s="9"/>
      <c r="B110" s="6">
        <v>2017</v>
      </c>
      <c r="C110" s="5">
        <f>C38+C74</f>
        <v>886409</v>
      </c>
      <c r="D110" s="5">
        <f>D38+D74</f>
        <v>20</v>
      </c>
      <c r="E110" s="4">
        <f>(D110/C110)*100000</f>
        <v>2.25629478040047</v>
      </c>
      <c r="F110" s="4">
        <f>LN(E110)</f>
        <v>0.81372399017100594</v>
      </c>
      <c r="G110" s="8"/>
      <c r="H110" s="3"/>
      <c r="I110" s="3"/>
      <c r="J110" s="3"/>
      <c r="K110" s="8"/>
      <c r="L110" s="5">
        <f>L38+L74</f>
        <v>432717</v>
      </c>
      <c r="M110" s="5">
        <f>M38+M74</f>
        <v>112</v>
      </c>
      <c r="N110" s="4">
        <f>(M110/L110)*100000</f>
        <v>25.88296738977207</v>
      </c>
      <c r="O110" s="4">
        <f>LN(N110)</f>
        <v>3.2535851226336754</v>
      </c>
      <c r="P110" s="8"/>
      <c r="Q110" s="3"/>
      <c r="R110" s="3"/>
      <c r="S110" s="3"/>
      <c r="T110" s="8"/>
      <c r="U110" s="5">
        <f>U38+U74</f>
        <v>190318</v>
      </c>
      <c r="V110" s="5">
        <f>V38+V74</f>
        <v>411</v>
      </c>
      <c r="W110" s="4">
        <f>(V110/U110)*100000</f>
        <v>215.95435008774788</v>
      </c>
      <c r="X110" s="4">
        <f>LN(W110)</f>
        <v>5.3750670431619056</v>
      </c>
      <c r="Y110" s="8"/>
      <c r="Z110" s="3"/>
      <c r="AA110" s="3"/>
      <c r="AB110" s="3"/>
      <c r="AC110" s="8"/>
    </row>
    <row r="111" spans="1:29" ht="15" thickBot="1" x14ac:dyDescent="0.35">
      <c r="A111" s="9"/>
      <c r="B111" s="6">
        <v>2018</v>
      </c>
      <c r="C111" s="5">
        <f>C39+C75</f>
        <v>911298</v>
      </c>
      <c r="D111" s="5">
        <f>D39+D75</f>
        <v>21</v>
      </c>
      <c r="E111" s="4">
        <f>(D111/C111)*100000</f>
        <v>2.3044053646556888</v>
      </c>
      <c r="F111" s="4">
        <f>LN(E111)</f>
        <v>0.83482266687880069</v>
      </c>
      <c r="G111" s="8"/>
      <c r="H111" s="3"/>
      <c r="I111" s="3"/>
      <c r="J111" s="3"/>
      <c r="K111" s="8"/>
      <c r="L111" s="5">
        <f>L39+L75</f>
        <v>451082</v>
      </c>
      <c r="M111" s="5">
        <f>M39+M75</f>
        <v>116</v>
      </c>
      <c r="N111" s="4">
        <f>(M111/L111)*100000</f>
        <v>25.715945216169118</v>
      </c>
      <c r="O111" s="4">
        <f>LN(N111)</f>
        <v>3.2471112359368819</v>
      </c>
      <c r="P111" s="8"/>
      <c r="Q111" s="3"/>
      <c r="R111" s="3"/>
      <c r="S111" s="3"/>
      <c r="T111" s="8"/>
      <c r="U111" s="5">
        <f>U39+U75</f>
        <v>199343</v>
      </c>
      <c r="V111" s="5">
        <f>V39+V75</f>
        <v>355</v>
      </c>
      <c r="W111" s="4">
        <f>(V111/U111)*100000</f>
        <v>178.085009255404</v>
      </c>
      <c r="X111" s="4">
        <f>LN(W111)</f>
        <v>5.182261016373551</v>
      </c>
      <c r="Y111" s="8"/>
      <c r="Z111" s="3"/>
      <c r="AA111" s="3"/>
      <c r="AB111" s="3"/>
      <c r="AC111" s="8"/>
    </row>
    <row r="112" spans="1:29" ht="15" thickBot="1" x14ac:dyDescent="0.35">
      <c r="A112" s="9"/>
      <c r="B112" s="6">
        <v>2019</v>
      </c>
      <c r="C112" s="5">
        <f>C40+C76</f>
        <v>954813</v>
      </c>
      <c r="D112" s="5">
        <f>D40+D76</f>
        <v>29</v>
      </c>
      <c r="E112" s="4">
        <f>(D112/C112)*100000</f>
        <v>3.0372439420074926</v>
      </c>
      <c r="F112" s="4">
        <f>LN(E112)</f>
        <v>1.1109505061857381</v>
      </c>
      <c r="G112" s="8"/>
      <c r="H112" s="3"/>
      <c r="I112" s="3"/>
      <c r="J112" s="3"/>
      <c r="K112" s="8"/>
      <c r="L112" s="5">
        <f>L40+L76</f>
        <v>471241</v>
      </c>
      <c r="M112" s="5">
        <f>M40+M76</f>
        <v>148</v>
      </c>
      <c r="N112" s="4">
        <f>(M112/L112)*100000</f>
        <v>31.406435348367395</v>
      </c>
      <c r="O112" s="4">
        <f>LN(N112)</f>
        <v>3.447012819315594</v>
      </c>
      <c r="P112" s="8"/>
      <c r="Q112" s="3"/>
      <c r="R112" s="3"/>
      <c r="S112" s="3"/>
      <c r="T112" s="8"/>
      <c r="U112" s="5">
        <f>U40+U76</f>
        <v>208662</v>
      </c>
      <c r="V112" s="5">
        <f>V40+V76</f>
        <v>437</v>
      </c>
      <c r="W112" s="4">
        <f>(V112/U112)*100000</f>
        <v>209.42960385695528</v>
      </c>
      <c r="X112" s="4">
        <f>LN(W112)</f>
        <v>5.3443876631190284</v>
      </c>
      <c r="Y112" s="8"/>
      <c r="Z112" s="3"/>
      <c r="AA112" s="3"/>
      <c r="AB112" s="3"/>
      <c r="AC112" s="8"/>
    </row>
    <row r="113" spans="1:29" ht="15" thickBot="1" x14ac:dyDescent="0.35">
      <c r="A113" s="9"/>
      <c r="B113" s="6">
        <v>2020</v>
      </c>
      <c r="C113" s="5">
        <f>C41+C77</f>
        <v>995513</v>
      </c>
      <c r="D113" s="5">
        <f>D41+D77</f>
        <v>26</v>
      </c>
      <c r="E113" s="4">
        <f>(D113/C113)*100000</f>
        <v>2.6117187821756218</v>
      </c>
      <c r="F113" s="4">
        <f>LN(E113)</f>
        <v>0.96000854182614725</v>
      </c>
      <c r="G113" s="8"/>
      <c r="H113" s="3"/>
      <c r="I113" s="3"/>
      <c r="J113" s="3"/>
      <c r="K113" s="8"/>
      <c r="L113" s="5">
        <f>L41+L77</f>
        <v>490747</v>
      </c>
      <c r="M113" s="5">
        <f>M41+M77</f>
        <v>162</v>
      </c>
      <c r="N113" s="4">
        <f>(M113/L113)*100000</f>
        <v>33.01089971003389</v>
      </c>
      <c r="O113" s="4">
        <f>LN(N113)</f>
        <v>3.496837801174796</v>
      </c>
      <c r="P113" s="8"/>
      <c r="Q113" s="3"/>
      <c r="R113" s="3"/>
      <c r="S113" s="3"/>
      <c r="T113" s="8"/>
      <c r="U113" s="5">
        <f>U41+U77</f>
        <v>215709</v>
      </c>
      <c r="V113" s="5">
        <f>V41+V77</f>
        <v>557</v>
      </c>
      <c r="W113" s="4">
        <f>(V113/U113)*100000</f>
        <v>258.21824773189803</v>
      </c>
      <c r="X113" s="4">
        <f>LN(W113)</f>
        <v>5.5538051487731881</v>
      </c>
      <c r="Y113" s="8"/>
      <c r="Z113" s="3"/>
      <c r="AA113" s="3"/>
      <c r="AB113" s="3"/>
      <c r="AC113" s="8"/>
    </row>
    <row r="114" spans="1:29" ht="15" thickBot="1" x14ac:dyDescent="0.35">
      <c r="A114" s="7"/>
      <c r="B114" s="6">
        <v>2021</v>
      </c>
      <c r="C114" s="5">
        <f>C42+C78</f>
        <v>1032116</v>
      </c>
      <c r="D114" s="5">
        <f>D42+D78</f>
        <v>31</v>
      </c>
      <c r="E114" s="4">
        <f>(D114/C114)*100000</f>
        <v>3.0035383619670655</v>
      </c>
      <c r="F114" s="4">
        <f>LN(E114)</f>
        <v>1.0997910476477095</v>
      </c>
      <c r="G114" s="2"/>
      <c r="H114" s="3"/>
      <c r="I114" s="3"/>
      <c r="J114" s="3"/>
      <c r="K114" s="2"/>
      <c r="L114" s="5">
        <f>L42+L78</f>
        <v>509111</v>
      </c>
      <c r="M114" s="5">
        <f>M42+M78</f>
        <v>159</v>
      </c>
      <c r="N114" s="4">
        <f>(M114/L114)*100000</f>
        <v>31.230910351573627</v>
      </c>
      <c r="O114" s="4">
        <f>LN(N114)</f>
        <v>3.441408320776433</v>
      </c>
      <c r="P114" s="2"/>
      <c r="Q114" s="3"/>
      <c r="R114" s="3"/>
      <c r="S114" s="3"/>
      <c r="T114" s="2"/>
      <c r="U114" s="5">
        <f>U42+U78</f>
        <v>220008</v>
      </c>
      <c r="V114" s="5">
        <f>V42+V78</f>
        <v>516</v>
      </c>
      <c r="W114" s="4">
        <f>(V114/U114)*100000</f>
        <v>234.5369259299662</v>
      </c>
      <c r="X114" s="4">
        <f>LN(W114)</f>
        <v>5.4576130421420697</v>
      </c>
      <c r="Y114" s="2"/>
      <c r="Z114" s="3"/>
      <c r="AA114" s="3"/>
      <c r="AB114" s="3"/>
      <c r="AC114" s="2"/>
    </row>
    <row r="115" spans="1:29" ht="15" thickBot="1" x14ac:dyDescent="0.35">
      <c r="A115" s="19" t="s">
        <v>13</v>
      </c>
      <c r="B115" s="14">
        <v>2016</v>
      </c>
      <c r="C115" s="5">
        <f>C43+C79</f>
        <v>3515125</v>
      </c>
      <c r="D115" s="5">
        <f>D43+D79</f>
        <v>128</v>
      </c>
      <c r="E115" s="4">
        <f>(D115/C115)*100000</f>
        <v>3.6414067778528505</v>
      </c>
      <c r="F115" s="4">
        <f>LN(E115)</f>
        <v>1.2923700844175847</v>
      </c>
      <c r="G115" s="18">
        <v>9.4000000000000004E-3</v>
      </c>
      <c r="H115" s="3">
        <f>(EXP(G115)-1)*100</f>
        <v>0.94443187565913522</v>
      </c>
      <c r="I115" s="3">
        <f>(EXP(-0.076)-1)*100</f>
        <v>-7.3183793440617766</v>
      </c>
      <c r="J115" s="3">
        <f>(EXP(0.095)-1)*100</f>
        <v>9.965885512610285</v>
      </c>
      <c r="K115" s="18" t="s">
        <v>12</v>
      </c>
      <c r="L115" s="5">
        <f>L43+L79</f>
        <v>2036657</v>
      </c>
      <c r="M115" s="5">
        <f>M43+M79</f>
        <v>632</v>
      </c>
      <c r="N115" s="4">
        <f>(M115/L115)*100000</f>
        <v>31.031243847147557</v>
      </c>
      <c r="O115" s="4">
        <f>LN(N115)</f>
        <v>3.4349945629661938</v>
      </c>
      <c r="P115" s="18">
        <v>4.5100000000000001E-2</v>
      </c>
      <c r="Q115" s="3">
        <f>(EXP(P115)-1)*100</f>
        <v>4.6132467925021459</v>
      </c>
      <c r="R115" s="3">
        <f>(EXP(-0.004)-1)*100</f>
        <v>-0.39920106560085156</v>
      </c>
      <c r="S115" s="3">
        <f>(EXP(0.094)-1)*100</f>
        <v>9.8559745917173647</v>
      </c>
      <c r="T115" s="18" t="s">
        <v>11</v>
      </c>
      <c r="U115" s="5">
        <f>U43+U79</f>
        <v>1027875</v>
      </c>
      <c r="V115" s="5">
        <f>V43+V79</f>
        <v>2362</v>
      </c>
      <c r="W115" s="4">
        <f>(V115/U115)*100000</f>
        <v>229.79447890064455</v>
      </c>
      <c r="X115" s="4">
        <f>LN(W115)</f>
        <v>5.4371853394543397</v>
      </c>
      <c r="Y115" s="18">
        <v>7.8299999999999995E-2</v>
      </c>
      <c r="Z115" s="3">
        <f>(EXP(Y115)-1)*100</f>
        <v>8.1447044123069254</v>
      </c>
      <c r="AA115" s="3">
        <f>(EXP(0.059)-1)*100</f>
        <v>6.0775240740158942</v>
      </c>
      <c r="AB115" s="3">
        <f>(EXP(0.098)-1)*100</f>
        <v>10.296278510850776</v>
      </c>
      <c r="AC115" s="18" t="s">
        <v>10</v>
      </c>
    </row>
    <row r="116" spans="1:29" ht="15" thickBot="1" x14ac:dyDescent="0.35">
      <c r="A116" s="17"/>
      <c r="B116" s="14">
        <v>2017</v>
      </c>
      <c r="C116" s="5">
        <f>C44+C80</f>
        <v>3621481</v>
      </c>
      <c r="D116" s="5">
        <f>D44+D80</f>
        <v>138</v>
      </c>
      <c r="E116" s="4">
        <f>(D116/C116)*100000</f>
        <v>3.8105957203696494</v>
      </c>
      <c r="F116" s="4">
        <f>LN(E116)</f>
        <v>1.3377855339685212</v>
      </c>
      <c r="G116" s="16"/>
      <c r="H116" s="3"/>
      <c r="I116" s="3"/>
      <c r="J116" s="3"/>
      <c r="K116" s="16"/>
      <c r="L116" s="5">
        <f>L44+L80</f>
        <v>2101126</v>
      </c>
      <c r="M116" s="5">
        <f>M44+M80</f>
        <v>745</v>
      </c>
      <c r="N116" s="4">
        <f>(M116/L116)*100000</f>
        <v>35.457178674672534</v>
      </c>
      <c r="O116" s="4">
        <f>LN(N116)</f>
        <v>3.5683257338786953</v>
      </c>
      <c r="P116" s="16"/>
      <c r="Q116" s="3"/>
      <c r="R116" s="3"/>
      <c r="S116" s="3"/>
      <c r="T116" s="16"/>
      <c r="U116" s="5">
        <f>U44+U80</f>
        <v>1063867</v>
      </c>
      <c r="V116" s="5">
        <f>V44+V80</f>
        <v>2745</v>
      </c>
      <c r="W116" s="4">
        <f>(V116/U116)*100000</f>
        <v>258.02097442631458</v>
      </c>
      <c r="X116" s="4">
        <f>LN(W116)</f>
        <v>5.5530408778432836</v>
      </c>
      <c r="Y116" s="16"/>
      <c r="Z116" s="3"/>
      <c r="AA116" s="3"/>
      <c r="AB116" s="3"/>
      <c r="AC116" s="16"/>
    </row>
    <row r="117" spans="1:29" ht="15" thickBot="1" x14ac:dyDescent="0.35">
      <c r="A117" s="17"/>
      <c r="B117" s="14">
        <v>2018</v>
      </c>
      <c r="C117" s="5">
        <f>C45+C81</f>
        <v>3731973</v>
      </c>
      <c r="D117" s="5">
        <f>D45+D81</f>
        <v>137</v>
      </c>
      <c r="E117" s="4">
        <f>(D117/C117)*100000</f>
        <v>3.6709804706518514</v>
      </c>
      <c r="F117" s="4">
        <f>LN(E117)</f>
        <v>1.3004587846018409</v>
      </c>
      <c r="G117" s="16"/>
      <c r="H117" s="3"/>
      <c r="I117" s="3"/>
      <c r="J117" s="3"/>
      <c r="K117" s="16"/>
      <c r="L117" s="5">
        <f>L45+L81</f>
        <v>2169393</v>
      </c>
      <c r="M117" s="5">
        <f>M45+M81</f>
        <v>703</v>
      </c>
      <c r="N117" s="4">
        <f>(M117/L117)*100000</f>
        <v>32.405377909857734</v>
      </c>
      <c r="O117" s="4">
        <f>LN(N117)</f>
        <v>3.4783243938964712</v>
      </c>
      <c r="P117" s="16"/>
      <c r="Q117" s="3"/>
      <c r="R117" s="3"/>
      <c r="S117" s="3"/>
      <c r="T117" s="16"/>
      <c r="U117" s="5">
        <f>U45+U81</f>
        <v>1102826</v>
      </c>
      <c r="V117" s="5">
        <f>V45+V81</f>
        <v>2856</v>
      </c>
      <c r="W117" s="4">
        <f>(V117/U117)*100000</f>
        <v>258.97104348283409</v>
      </c>
      <c r="X117" s="4">
        <f>LN(W117)</f>
        <v>5.5567162542247361</v>
      </c>
      <c r="Y117" s="16"/>
      <c r="Z117" s="3"/>
      <c r="AA117" s="3"/>
      <c r="AB117" s="3"/>
      <c r="AC117" s="16"/>
    </row>
    <row r="118" spans="1:29" ht="15" thickBot="1" x14ac:dyDescent="0.35">
      <c r="A118" s="17"/>
      <c r="B118" s="14">
        <v>2019</v>
      </c>
      <c r="C118" s="5">
        <f>C46+C82</f>
        <v>3850671</v>
      </c>
      <c r="D118" s="5">
        <f>D46+D82</f>
        <v>162</v>
      </c>
      <c r="E118" s="4">
        <f>(D118/C118)*100000</f>
        <v>4.2070589775132694</v>
      </c>
      <c r="F118" s="4">
        <f>LN(E118)</f>
        <v>1.4367638234103504</v>
      </c>
      <c r="G118" s="16"/>
      <c r="H118" s="3"/>
      <c r="I118" s="3"/>
      <c r="J118" s="3"/>
      <c r="K118" s="16"/>
      <c r="L118" s="5">
        <f>L46+L82</f>
        <v>2241885</v>
      </c>
      <c r="M118" s="5">
        <f>M46+M82</f>
        <v>856</v>
      </c>
      <c r="N118" s="4">
        <f>(M118/L118)*100000</f>
        <v>38.182154749240041</v>
      </c>
      <c r="O118" s="4">
        <f>LN(N118)</f>
        <v>3.6423682533012416</v>
      </c>
      <c r="P118" s="16"/>
      <c r="Q118" s="3"/>
      <c r="R118" s="3"/>
      <c r="S118" s="3"/>
      <c r="T118" s="16"/>
      <c r="U118" s="5">
        <f>U46+U82</f>
        <v>1141427</v>
      </c>
      <c r="V118" s="5">
        <f>V46+V82</f>
        <v>3345</v>
      </c>
      <c r="W118" s="4">
        <f>(V118/U118)*100000</f>
        <v>293.05422072546031</v>
      </c>
      <c r="X118" s="4">
        <f>LN(W118)</f>
        <v>5.6803576455672617</v>
      </c>
      <c r="Y118" s="16"/>
      <c r="Z118" s="3"/>
      <c r="AA118" s="3"/>
      <c r="AB118" s="3"/>
      <c r="AC118" s="16"/>
    </row>
    <row r="119" spans="1:29" ht="15" thickBot="1" x14ac:dyDescent="0.35">
      <c r="A119" s="17"/>
      <c r="B119" s="14">
        <v>2020</v>
      </c>
      <c r="C119" s="5">
        <f>C47+C83</f>
        <v>3974340</v>
      </c>
      <c r="D119" s="5">
        <f>D47+D83</f>
        <v>147</v>
      </c>
      <c r="E119" s="4">
        <f>(D119/C119)*100000</f>
        <v>3.6987273358595387</v>
      </c>
      <c r="F119" s="4">
        <f>LN(E119)</f>
        <v>1.3079887972000352</v>
      </c>
      <c r="G119" s="16"/>
      <c r="H119" s="3"/>
      <c r="I119" s="3"/>
      <c r="J119" s="3"/>
      <c r="K119" s="16"/>
      <c r="L119" s="5">
        <f>L47+L83</f>
        <v>2312831</v>
      </c>
      <c r="M119" s="5">
        <f>M47+M83</f>
        <v>888</v>
      </c>
      <c r="N119" s="4">
        <f>(M119/L119)*100000</f>
        <v>38.394504397424626</v>
      </c>
      <c r="O119" s="4">
        <f>LN(N119)</f>
        <v>3.6479143347014023</v>
      </c>
      <c r="P119" s="16"/>
      <c r="Q119" s="3"/>
      <c r="R119" s="3"/>
      <c r="S119" s="3"/>
      <c r="T119" s="16"/>
      <c r="U119" s="5">
        <f>U47+U83</f>
        <v>1171861</v>
      </c>
      <c r="V119" s="5">
        <f>V47+V83</f>
        <v>3665</v>
      </c>
      <c r="W119" s="4">
        <f>(V119/U119)*100000</f>
        <v>312.75040299148105</v>
      </c>
      <c r="X119" s="4">
        <f>LN(W119)</f>
        <v>5.7454054378880963</v>
      </c>
      <c r="Y119" s="16"/>
      <c r="Z119" s="3"/>
      <c r="AA119" s="3"/>
      <c r="AB119" s="3"/>
      <c r="AC119" s="16"/>
    </row>
    <row r="120" spans="1:29" ht="15" thickBot="1" x14ac:dyDescent="0.35">
      <c r="A120" s="15"/>
      <c r="B120" s="14">
        <v>2021</v>
      </c>
      <c r="C120" s="5">
        <f>C48+C84</f>
        <v>4100893</v>
      </c>
      <c r="D120" s="5">
        <f>D48+D84</f>
        <v>158</v>
      </c>
      <c r="E120" s="4">
        <f>(D120/C120)*100000</f>
        <v>3.8528193737315259</v>
      </c>
      <c r="F120" s="4">
        <f>LN(E120)</f>
        <v>1.3488051851606491</v>
      </c>
      <c r="G120" s="13"/>
      <c r="H120" s="3"/>
      <c r="I120" s="3"/>
      <c r="J120" s="3"/>
      <c r="K120" s="13"/>
      <c r="L120" s="5">
        <f>L48+L84</f>
        <v>2380677</v>
      </c>
      <c r="M120" s="5">
        <f>M48+M84</f>
        <v>989</v>
      </c>
      <c r="N120" s="4">
        <f>(M120/L120)*100000</f>
        <v>41.542804840807889</v>
      </c>
      <c r="O120" s="4">
        <f>LN(N120)</f>
        <v>3.726724337613077</v>
      </c>
      <c r="P120" s="13"/>
      <c r="Q120" s="3"/>
      <c r="R120" s="3"/>
      <c r="S120" s="3"/>
      <c r="T120" s="13"/>
      <c r="U120" s="5">
        <f>U48+U84</f>
        <v>1191873</v>
      </c>
      <c r="V120" s="5">
        <f>V48+V84</f>
        <v>4045</v>
      </c>
      <c r="W120" s="4">
        <f>(V120/U120)*100000</f>
        <v>339.38179655047139</v>
      </c>
      <c r="X120" s="4">
        <f>LN(W120)</f>
        <v>5.8271257171557247</v>
      </c>
      <c r="Y120" s="13"/>
      <c r="Z120" s="3"/>
      <c r="AA120" s="3"/>
      <c r="AB120" s="3"/>
      <c r="AC120" s="13"/>
    </row>
    <row r="121" spans="1:29" ht="15" thickBot="1" x14ac:dyDescent="0.35">
      <c r="A121" s="12" t="s">
        <v>9</v>
      </c>
      <c r="B121" s="11">
        <v>2016</v>
      </c>
      <c r="C121" s="5">
        <f>C49+C85</f>
        <v>962141</v>
      </c>
      <c r="D121" s="5">
        <f>D49+D85</f>
        <v>41</v>
      </c>
      <c r="E121" s="4">
        <f>(D121/C121)*100000</f>
        <v>4.2613296803690934</v>
      </c>
      <c r="F121" s="4">
        <f>LN(E121)</f>
        <v>1.4495812431204043</v>
      </c>
      <c r="G121" s="10">
        <v>0.08</v>
      </c>
      <c r="H121" s="3">
        <f>(EXP(G121)-1)*100</f>
        <v>8.3287067674958628</v>
      </c>
      <c r="I121" s="3">
        <f>(EXP(-0.051)-1)*100</f>
        <v>-4.9721329467573021</v>
      </c>
      <c r="J121" s="3">
        <f>(EXP(0.211)-1)*100</f>
        <v>23.491235506139429</v>
      </c>
      <c r="K121" s="10" t="s">
        <v>8</v>
      </c>
      <c r="L121" s="5">
        <f>L49+L85</f>
        <v>484702</v>
      </c>
      <c r="M121" s="5">
        <f>M49+M85</f>
        <v>256</v>
      </c>
      <c r="N121" s="4">
        <f>(M121/L121)*100000</f>
        <v>52.815957021014974</v>
      </c>
      <c r="O121" s="4">
        <f>LN(N121)</f>
        <v>3.9668133613611682</v>
      </c>
      <c r="P121" s="10">
        <v>2.7699999999999999E-2</v>
      </c>
      <c r="Q121" s="3">
        <f>(EXP(P121)-1)*100</f>
        <v>2.8087211989276994</v>
      </c>
      <c r="R121" s="3">
        <f>(EXP(-0.103)-1)*100</f>
        <v>-9.7873026518483499</v>
      </c>
      <c r="S121" s="3">
        <f>(EXP(0.159)-1)*100</f>
        <v>17.233794668071756</v>
      </c>
      <c r="T121" s="10" t="s">
        <v>7</v>
      </c>
      <c r="U121" s="5">
        <f>U49+U85</f>
        <v>202580</v>
      </c>
      <c r="V121" s="5">
        <f>V49+V85</f>
        <v>776</v>
      </c>
      <c r="W121" s="4">
        <f>(V121/U121)*100000</f>
        <v>383.0585447724356</v>
      </c>
      <c r="X121" s="4">
        <f>LN(W121)</f>
        <v>5.948187835912659</v>
      </c>
      <c r="Y121" s="10">
        <v>4.3400000000000001E-2</v>
      </c>
      <c r="Z121" s="3">
        <f>(EXP(Y121)-1)*100</f>
        <v>4.4355553534720871</v>
      </c>
      <c r="AA121" s="3">
        <f>(EXP(-0.028)-1)*100</f>
        <v>-2.7611633198753149</v>
      </c>
      <c r="AB121" s="3">
        <f>(EXP(0.115)-1)*100</f>
        <v>12.187343757193837</v>
      </c>
      <c r="AC121" s="10" t="s">
        <v>6</v>
      </c>
    </row>
    <row r="122" spans="1:29" ht="15" thickBot="1" x14ac:dyDescent="0.35">
      <c r="A122" s="9"/>
      <c r="B122" s="6">
        <v>2017</v>
      </c>
      <c r="C122" s="5">
        <f>C50+C86</f>
        <v>1008710</v>
      </c>
      <c r="D122" s="5">
        <f>D50+D86</f>
        <v>50</v>
      </c>
      <c r="E122" s="4">
        <f>(D122/C122)*100000</f>
        <v>4.9568260451467712</v>
      </c>
      <c r="F122" s="4">
        <f>LN(E122)</f>
        <v>1.6007656256542167</v>
      </c>
      <c r="G122" s="8"/>
      <c r="H122" s="3"/>
      <c r="I122" s="3"/>
      <c r="J122" s="3"/>
      <c r="K122" s="8"/>
      <c r="L122" s="5">
        <f>L50+L86</f>
        <v>505705</v>
      </c>
      <c r="M122" s="5">
        <f>M50+M86</f>
        <v>264</v>
      </c>
      <c r="N122" s="4">
        <f>(M122/L122)*100000</f>
        <v>52.204348384927968</v>
      </c>
      <c r="O122" s="4">
        <f>LN(N122)</f>
        <v>3.9551657938123976</v>
      </c>
      <c r="P122" s="8"/>
      <c r="Q122" s="3"/>
      <c r="R122" s="3"/>
      <c r="S122" s="3"/>
      <c r="T122" s="8"/>
      <c r="U122" s="5">
        <f>U50+U86</f>
        <v>214182</v>
      </c>
      <c r="V122" s="5">
        <f>V50+V86</f>
        <v>926</v>
      </c>
      <c r="W122" s="4">
        <f>(V122/U122)*100000</f>
        <v>432.3425871455118</v>
      </c>
      <c r="X122" s="4">
        <f>LN(W122)</f>
        <v>6.0692182997650894</v>
      </c>
      <c r="Y122" s="8"/>
      <c r="Z122" s="3"/>
      <c r="AA122" s="3"/>
      <c r="AB122" s="3"/>
      <c r="AC122" s="8"/>
    </row>
    <row r="123" spans="1:29" ht="15" thickBot="1" x14ac:dyDescent="0.35">
      <c r="A123" s="9"/>
      <c r="B123" s="6">
        <v>2018</v>
      </c>
      <c r="C123" s="5">
        <f>C51+C87</f>
        <v>1056549</v>
      </c>
      <c r="D123" s="5">
        <f>D51+D87</f>
        <v>55</v>
      </c>
      <c r="E123" s="4">
        <f>(D123/C123)*100000</f>
        <v>5.2056269988424582</v>
      </c>
      <c r="F123" s="4">
        <f>LN(E123)</f>
        <v>1.6497401556848144</v>
      </c>
      <c r="G123" s="8"/>
      <c r="H123" s="3"/>
      <c r="I123" s="3"/>
      <c r="J123" s="3"/>
      <c r="K123" s="8"/>
      <c r="L123" s="5">
        <f>L51+L87</f>
        <v>528356</v>
      </c>
      <c r="M123" s="5">
        <f>M51+M87</f>
        <v>235</v>
      </c>
      <c r="N123" s="4">
        <f>(M123/L123)*100000</f>
        <v>44.477587081437512</v>
      </c>
      <c r="O123" s="4">
        <f>LN(N123)</f>
        <v>3.7949854012010507</v>
      </c>
      <c r="P123" s="8"/>
      <c r="Q123" s="3"/>
      <c r="R123" s="3"/>
      <c r="S123" s="3"/>
      <c r="T123" s="8"/>
      <c r="U123" s="5">
        <f>U51+U87</f>
        <v>226437</v>
      </c>
      <c r="V123" s="5">
        <f>V51+V87</f>
        <v>957</v>
      </c>
      <c r="W123" s="4">
        <f>(V123/U123)*100000</f>
        <v>422.63411014984302</v>
      </c>
      <c r="X123" s="4">
        <f>LN(W123)</f>
        <v>6.0465068169030092</v>
      </c>
      <c r="Y123" s="8"/>
      <c r="Z123" s="3"/>
      <c r="AA123" s="3"/>
      <c r="AB123" s="3"/>
      <c r="AC123" s="8"/>
    </row>
    <row r="124" spans="1:29" ht="15" thickBot="1" x14ac:dyDescent="0.35">
      <c r="A124" s="9"/>
      <c r="B124" s="6">
        <v>2019</v>
      </c>
      <c r="C124" s="5">
        <f>C52+C88</f>
        <v>1105619</v>
      </c>
      <c r="D124" s="5">
        <f>D52+D88</f>
        <v>53</v>
      </c>
      <c r="E124" s="4">
        <f>(D124/C124)*100000</f>
        <v>4.793694753798551</v>
      </c>
      <c r="F124" s="4">
        <f>LN(E124)</f>
        <v>1.5673014614356879</v>
      </c>
      <c r="G124" s="8"/>
      <c r="H124" s="3"/>
      <c r="I124" s="3"/>
      <c r="J124" s="3"/>
      <c r="K124" s="8"/>
      <c r="L124" s="5">
        <f>L52+L88</f>
        <v>553183</v>
      </c>
      <c r="M124" s="5">
        <f>M52+M88</f>
        <v>305</v>
      </c>
      <c r="N124" s="4">
        <f>(M124/L124)*100000</f>
        <v>55.135461501889971</v>
      </c>
      <c r="O124" s="4">
        <f>LN(N124)</f>
        <v>4.009793093573542</v>
      </c>
      <c r="P124" s="8"/>
      <c r="Q124" s="3"/>
      <c r="R124" s="3"/>
      <c r="S124" s="3"/>
      <c r="T124" s="8"/>
      <c r="U124" s="5">
        <f>U52+U88</f>
        <v>238870</v>
      </c>
      <c r="V124" s="5">
        <f>V52+V88</f>
        <v>1154</v>
      </c>
      <c r="W124" s="4">
        <f>(V124/U124)*100000</f>
        <v>483.1079666764349</v>
      </c>
      <c r="X124" s="4">
        <f>LN(W124)</f>
        <v>6.1802401621642682</v>
      </c>
      <c r="Y124" s="8"/>
      <c r="Z124" s="3"/>
      <c r="AA124" s="3"/>
      <c r="AB124" s="3"/>
      <c r="AC124" s="8"/>
    </row>
    <row r="125" spans="1:29" ht="15" thickBot="1" x14ac:dyDescent="0.35">
      <c r="A125" s="9"/>
      <c r="B125" s="6">
        <v>2020</v>
      </c>
      <c r="C125" s="5">
        <f>C53+C89</f>
        <v>1153851</v>
      </c>
      <c r="D125" s="5">
        <f>D53+D89</f>
        <v>84</v>
      </c>
      <c r="E125" s="4">
        <f>(D125/C125)*100000</f>
        <v>7.279969424128419</v>
      </c>
      <c r="F125" s="4">
        <f>LN(E125)</f>
        <v>1.9851266622174146</v>
      </c>
      <c r="G125" s="8"/>
      <c r="H125" s="3"/>
      <c r="I125" s="3"/>
      <c r="J125" s="3"/>
      <c r="K125" s="8"/>
      <c r="L125" s="5">
        <f>L53+L89</f>
        <v>578760</v>
      </c>
      <c r="M125" s="5">
        <f>M53+M89</f>
        <v>360</v>
      </c>
      <c r="N125" s="4">
        <f>(M125/L125)*100000</f>
        <v>62.201948994401825</v>
      </c>
      <c r="O125" s="4">
        <f>LN(N125)</f>
        <v>4.1303863335693665</v>
      </c>
      <c r="P125" s="8"/>
      <c r="Q125" s="3"/>
      <c r="R125" s="3"/>
      <c r="S125" s="3"/>
      <c r="T125" s="8"/>
      <c r="U125" s="5">
        <f>U53+U89</f>
        <v>249679</v>
      </c>
      <c r="V125" s="5">
        <f>V53+V89</f>
        <v>1229</v>
      </c>
      <c r="W125" s="4">
        <f>(V125/U125)*100000</f>
        <v>492.23202592128291</v>
      </c>
      <c r="X125" s="4">
        <f>LN(W125)</f>
        <v>6.1989502027261851</v>
      </c>
      <c r="Y125" s="8"/>
      <c r="Z125" s="3"/>
      <c r="AA125" s="3"/>
      <c r="AB125" s="3"/>
      <c r="AC125" s="8"/>
    </row>
    <row r="126" spans="1:29" ht="15" thickBot="1" x14ac:dyDescent="0.35">
      <c r="A126" s="7"/>
      <c r="B126" s="6">
        <v>2021</v>
      </c>
      <c r="C126" s="5">
        <f>C54+C90</f>
        <v>1198354</v>
      </c>
      <c r="D126" s="5">
        <f>D54+D90</f>
        <v>60</v>
      </c>
      <c r="E126" s="4">
        <f>(D126/C126)*100000</f>
        <v>5.0068677536020241</v>
      </c>
      <c r="F126" s="4">
        <f>LN(E126)</f>
        <v>1.6108105206966248</v>
      </c>
      <c r="G126" s="2"/>
      <c r="H126" s="3"/>
      <c r="I126" s="3"/>
      <c r="J126" s="3"/>
      <c r="K126" s="2"/>
      <c r="L126" s="5">
        <f>L54+L90</f>
        <v>603352</v>
      </c>
      <c r="M126" s="5">
        <f>M54+M90</f>
        <v>301</v>
      </c>
      <c r="N126" s="4">
        <f>(M126/L126)*100000</f>
        <v>49.887959267558571</v>
      </c>
      <c r="O126" s="4">
        <f>LN(N126)</f>
        <v>3.9097796763972941</v>
      </c>
      <c r="P126" s="2"/>
      <c r="Q126" s="3"/>
      <c r="R126" s="3"/>
      <c r="S126" s="3"/>
      <c r="T126" s="2"/>
      <c r="U126" s="5">
        <f>U54+U90</f>
        <v>257424</v>
      </c>
      <c r="V126" s="5">
        <f>V54+V90</f>
        <v>1137</v>
      </c>
      <c r="W126" s="4">
        <f>(V126/U126)*100000</f>
        <v>441.68375909006159</v>
      </c>
      <c r="X126" s="4">
        <f>LN(W126)</f>
        <v>6.0905941488299487</v>
      </c>
      <c r="Y126" s="2"/>
      <c r="Z126" s="3"/>
      <c r="AA126" s="3"/>
      <c r="AB126" s="3"/>
      <c r="AC126" s="2"/>
    </row>
    <row r="127" spans="1:29" ht="15" thickBot="1" x14ac:dyDescent="0.35">
      <c r="A127" s="19" t="s">
        <v>5</v>
      </c>
      <c r="B127" s="14">
        <v>2016</v>
      </c>
      <c r="C127" s="5">
        <f>C55+C91</f>
        <v>6777198</v>
      </c>
      <c r="D127" s="5">
        <f>D55+D91</f>
        <v>356</v>
      </c>
      <c r="E127" s="4">
        <f>(D127/C127)*100000</f>
        <v>5.2529083553409537</v>
      </c>
      <c r="F127" s="4">
        <f>LN(E127)</f>
        <v>1.658781895663338</v>
      </c>
      <c r="G127" s="18">
        <v>4.1700000000000001E-2</v>
      </c>
      <c r="H127" s="3">
        <f>(EXP(G127)-1)*100</f>
        <v>4.2581657332696921</v>
      </c>
      <c r="I127" s="3">
        <f>(EXP(0.011)-1)*100</f>
        <v>1.1060722444719451</v>
      </c>
      <c r="J127" s="3">
        <f>(EXP(0.073)-1)*100</f>
        <v>7.5730536914703439</v>
      </c>
      <c r="K127" s="18" t="s">
        <v>4</v>
      </c>
      <c r="L127" s="5">
        <f>L55+L91</f>
        <v>3525758</v>
      </c>
      <c r="M127" s="5">
        <f>M55+M91</f>
        <v>1844</v>
      </c>
      <c r="N127" s="4">
        <f>(M127/L127)*100000</f>
        <v>52.300810208755117</v>
      </c>
      <c r="O127" s="4">
        <f>LN(N127)</f>
        <v>3.9570118625140793</v>
      </c>
      <c r="P127" s="18">
        <v>8.6E-3</v>
      </c>
      <c r="Q127" s="3">
        <f>(EXP(P127)-1)*100</f>
        <v>0.8637086237645919</v>
      </c>
      <c r="R127" s="3">
        <f>(EXP(-0.023)-1)*100</f>
        <v>-2.2737516226722931</v>
      </c>
      <c r="S127" s="3">
        <f>(EXP(0.041)-1)*100</f>
        <v>4.1852105545479468</v>
      </c>
      <c r="T127" s="18" t="s">
        <v>3</v>
      </c>
      <c r="U127" s="5">
        <f>U55+U91</f>
        <v>1731083</v>
      </c>
      <c r="V127" s="5">
        <f>V55+V91</f>
        <v>7712</v>
      </c>
      <c r="W127" s="4">
        <f>(V127/U127)*100000</f>
        <v>445.50145775794687</v>
      </c>
      <c r="X127" s="4">
        <f>LN(W127)</f>
        <v>6.0992005190894538</v>
      </c>
      <c r="Y127" s="18">
        <v>1.5699999999999999E-2</v>
      </c>
      <c r="Z127" s="3">
        <f>(EXP(Y127)-1)*100</f>
        <v>1.5823892521691585</v>
      </c>
      <c r="AA127" s="3">
        <f>(EXP(-0.006)-1)*100</f>
        <v>-0.59820359460647232</v>
      </c>
      <c r="AB127" s="3">
        <f>(EXP(0.038)-1)*100</f>
        <v>3.8731232878497668</v>
      </c>
      <c r="AC127" s="18" t="s">
        <v>2</v>
      </c>
    </row>
    <row r="128" spans="1:29" ht="15" thickBot="1" x14ac:dyDescent="0.35">
      <c r="A128" s="17"/>
      <c r="B128" s="14">
        <v>2017</v>
      </c>
      <c r="C128" s="5">
        <f>C56+C92</f>
        <v>7047626</v>
      </c>
      <c r="D128" s="5">
        <f>D56+D92</f>
        <v>335</v>
      </c>
      <c r="E128" s="4">
        <f>(D128/C128)*100000</f>
        <v>4.7533736892394689</v>
      </c>
      <c r="F128" s="4">
        <f>LN(E128)</f>
        <v>1.5588546163043289</v>
      </c>
      <c r="G128" s="16"/>
      <c r="H128" s="3"/>
      <c r="I128" s="3"/>
      <c r="J128" s="3"/>
      <c r="K128" s="16"/>
      <c r="L128" s="5">
        <f>L56+L92</f>
        <v>3656818</v>
      </c>
      <c r="M128" s="5">
        <f>M56+M92</f>
        <v>1904</v>
      </c>
      <c r="N128" s="4">
        <f>(M128/L128)*100000</f>
        <v>52.067125025090114</v>
      </c>
      <c r="O128" s="4">
        <f>LN(N128)</f>
        <v>3.952533751997513</v>
      </c>
      <c r="P128" s="16"/>
      <c r="Q128" s="3"/>
      <c r="R128" s="3"/>
      <c r="S128" s="3"/>
      <c r="T128" s="16"/>
      <c r="U128" s="5">
        <f>U56+U92</f>
        <v>1796155</v>
      </c>
      <c r="V128" s="5">
        <f>V56+V92</f>
        <v>8104</v>
      </c>
      <c r="W128" s="4">
        <f>(V128/U128)*100000</f>
        <v>451.18600566209489</v>
      </c>
      <c r="X128" s="4">
        <f>LN(W128)</f>
        <v>6.1118796838830232</v>
      </c>
      <c r="Y128" s="16"/>
      <c r="Z128" s="3"/>
      <c r="AA128" s="3"/>
      <c r="AB128" s="3"/>
      <c r="AC128" s="16"/>
    </row>
    <row r="129" spans="1:29" ht="15" thickBot="1" x14ac:dyDescent="0.35">
      <c r="A129" s="17"/>
      <c r="B129" s="14">
        <v>2018</v>
      </c>
      <c r="C129" s="5">
        <f>C57+C93</f>
        <v>7315396</v>
      </c>
      <c r="D129" s="5">
        <f>D57+D93</f>
        <v>375</v>
      </c>
      <c r="E129" s="4">
        <f>(D129/C129)*100000</f>
        <v>5.1261749876561709</v>
      </c>
      <c r="F129" s="4">
        <f>LN(E129)</f>
        <v>1.6343597646311963</v>
      </c>
      <c r="G129" s="16"/>
      <c r="H129" s="3"/>
      <c r="I129" s="3"/>
      <c r="J129" s="3"/>
      <c r="K129" s="16"/>
      <c r="L129" s="5">
        <f>L57+L93</f>
        <v>3801853</v>
      </c>
      <c r="M129" s="5">
        <f>M57+M93</f>
        <v>1878</v>
      </c>
      <c r="N129" s="4">
        <f>(M129/L129)*100000</f>
        <v>49.396965111486423</v>
      </c>
      <c r="O129" s="4">
        <f>LN(N129)</f>
        <v>3.8998889873165172</v>
      </c>
      <c r="P129" s="16"/>
      <c r="Q129" s="3"/>
      <c r="R129" s="3"/>
      <c r="S129" s="3"/>
      <c r="T129" s="16"/>
      <c r="U129" s="5">
        <f>U57+U93</f>
        <v>1863214</v>
      </c>
      <c r="V129" s="5">
        <f>V57+V93</f>
        <v>8343</v>
      </c>
      <c r="W129" s="4">
        <f>(V129/U129)*100000</f>
        <v>447.77465175766173</v>
      </c>
      <c r="X129" s="4">
        <f>LN(W129)</f>
        <v>6.1042900963937772</v>
      </c>
      <c r="Y129" s="16"/>
      <c r="Z129" s="3"/>
      <c r="AA129" s="3"/>
      <c r="AB129" s="3"/>
      <c r="AC129" s="16"/>
    </row>
    <row r="130" spans="1:29" ht="15" thickBot="1" x14ac:dyDescent="0.35">
      <c r="A130" s="17"/>
      <c r="B130" s="14">
        <v>2019</v>
      </c>
      <c r="C130" s="5">
        <f>C58+C94</f>
        <v>7577224</v>
      </c>
      <c r="D130" s="5">
        <f>D58+D94</f>
        <v>433</v>
      </c>
      <c r="E130" s="4">
        <f>(D130/C130)*100000</f>
        <v>5.7144938568531165</v>
      </c>
      <c r="F130" s="4">
        <f>LN(E130)</f>
        <v>1.743005729344546</v>
      </c>
      <c r="G130" s="16"/>
      <c r="H130" s="3"/>
      <c r="I130" s="3"/>
      <c r="J130" s="3"/>
      <c r="K130" s="16"/>
      <c r="L130" s="5">
        <f>L58+L94</f>
        <v>3962308</v>
      </c>
      <c r="M130" s="5">
        <f>M58+M94</f>
        <v>2170</v>
      </c>
      <c r="N130" s="4">
        <f>(M130/L130)*100000</f>
        <v>54.766060588929484</v>
      </c>
      <c r="O130" s="4">
        <f>LN(N130)</f>
        <v>4.0030706697696807</v>
      </c>
      <c r="P130" s="16"/>
      <c r="Q130" s="3"/>
      <c r="R130" s="3"/>
      <c r="S130" s="3"/>
      <c r="T130" s="16"/>
      <c r="U130" s="5">
        <f>U58+U94</f>
        <v>1929335</v>
      </c>
      <c r="V130" s="5">
        <f>V58+V94</f>
        <v>9299</v>
      </c>
      <c r="W130" s="4">
        <f>(V130/U130)*100000</f>
        <v>481.97954217385779</v>
      </c>
      <c r="X130" s="4">
        <f>LN(W130)</f>
        <v>6.1779016695271425</v>
      </c>
      <c r="Y130" s="16"/>
      <c r="Z130" s="3"/>
      <c r="AA130" s="3"/>
      <c r="AB130" s="3"/>
      <c r="AC130" s="16"/>
    </row>
    <row r="131" spans="1:29" ht="15" thickBot="1" x14ac:dyDescent="0.35">
      <c r="A131" s="17"/>
      <c r="B131" s="14">
        <v>2020</v>
      </c>
      <c r="C131" s="5">
        <f>C59+C95</f>
        <v>7820288</v>
      </c>
      <c r="D131" s="5">
        <f>D59+D95</f>
        <v>441</v>
      </c>
      <c r="E131" s="4">
        <f>(D131/C131)*100000</f>
        <v>5.6391785059578368</v>
      </c>
      <c r="F131" s="4">
        <f>LN(E131)</f>
        <v>1.7297383999292373</v>
      </c>
      <c r="G131" s="16"/>
      <c r="H131" s="3"/>
      <c r="I131" s="3"/>
      <c r="J131" s="3"/>
      <c r="K131" s="16"/>
      <c r="L131" s="5">
        <f>L59+L95</f>
        <v>4129338</v>
      </c>
      <c r="M131" s="5">
        <f>M59+M95</f>
        <v>2189</v>
      </c>
      <c r="N131" s="4">
        <f>(M131/L131)*100000</f>
        <v>53.010918457147376</v>
      </c>
      <c r="O131" s="4">
        <f>LN(N131)</f>
        <v>3.9704979009606811</v>
      </c>
      <c r="P131" s="16"/>
      <c r="Q131" s="3"/>
      <c r="R131" s="3"/>
      <c r="S131" s="3"/>
      <c r="T131" s="16"/>
      <c r="U131" s="5">
        <f>U59+U95</f>
        <v>1985761</v>
      </c>
      <c r="V131" s="5">
        <f>V59+V95</f>
        <v>9451</v>
      </c>
      <c r="W131" s="4">
        <f>(V131/U131)*100000</f>
        <v>475.93844375028016</v>
      </c>
      <c r="X131" s="4">
        <f>LN(W131)</f>
        <v>6.1652885260165347</v>
      </c>
      <c r="Y131" s="16"/>
      <c r="Z131" s="3"/>
      <c r="AA131" s="3"/>
      <c r="AB131" s="3"/>
      <c r="AC131" s="16"/>
    </row>
    <row r="132" spans="1:29" ht="15" thickBot="1" x14ac:dyDescent="0.35">
      <c r="A132" s="15"/>
      <c r="B132" s="14">
        <v>2021</v>
      </c>
      <c r="C132" s="5">
        <f>C60+C96</f>
        <v>8029188</v>
      </c>
      <c r="D132" s="5">
        <f>D60+D96</f>
        <v>452</v>
      </c>
      <c r="E132" s="4">
        <f>(D132/C132)*100000</f>
        <v>5.6294609118630676</v>
      </c>
      <c r="F132" s="4">
        <f>LN(E132)</f>
        <v>1.7280136847895788</v>
      </c>
      <c r="G132" s="13"/>
      <c r="H132" s="3"/>
      <c r="I132" s="3"/>
      <c r="J132" s="3"/>
      <c r="K132" s="13"/>
      <c r="L132" s="5">
        <f>L60+L96</f>
        <v>4290104</v>
      </c>
      <c r="M132" s="5">
        <f>M60+M96</f>
        <v>2384</v>
      </c>
      <c r="N132" s="4">
        <f>(M132/L132)*100000</f>
        <v>55.569748425679194</v>
      </c>
      <c r="O132" s="4">
        <f>LN(N132)</f>
        <v>4.0176389601208697</v>
      </c>
      <c r="P132" s="13"/>
      <c r="Q132" s="3"/>
      <c r="R132" s="3"/>
      <c r="S132" s="3"/>
      <c r="T132" s="13"/>
      <c r="U132" s="5">
        <f>U60+U96</f>
        <v>2022377</v>
      </c>
      <c r="V132" s="5">
        <f>V60+V96</f>
        <v>10004</v>
      </c>
      <c r="W132" s="4">
        <f>(V132/U132)*100000</f>
        <v>494.66543577186644</v>
      </c>
      <c r="X132" s="4">
        <f>LN(W132)</f>
        <v>6.2038816467243141</v>
      </c>
      <c r="Y132" s="13"/>
      <c r="Z132" s="3"/>
      <c r="AA132" s="3"/>
      <c r="AB132" s="3"/>
      <c r="AC132" s="13"/>
    </row>
    <row r="133" spans="1:29" ht="15" thickBot="1" x14ac:dyDescent="0.35">
      <c r="A133" s="12" t="s">
        <v>1</v>
      </c>
      <c r="B133" s="11">
        <v>2016</v>
      </c>
      <c r="C133" s="5">
        <f>C61+C97</f>
        <v>2398569</v>
      </c>
      <c r="D133" s="5">
        <f>D61+D97</f>
        <v>154</v>
      </c>
      <c r="E133" s="4">
        <f>(D133/C133)*100000</f>
        <v>6.4204948867428868</v>
      </c>
      <c r="F133" s="4">
        <f>LN(E133)</f>
        <v>1.8594951998934048</v>
      </c>
      <c r="G133" s="10">
        <v>4.3400000000000001E-2</v>
      </c>
      <c r="H133" s="3">
        <f>(EXP(G133)-1)*100</f>
        <v>4.4355553534720871</v>
      </c>
      <c r="I133" s="3">
        <f>(EXP(-0.086)-1)*100</f>
        <v>-8.2405768779849069</v>
      </c>
      <c r="J133" s="3">
        <f>(EXP(0.173)-1)*100</f>
        <v>18.886610508403212</v>
      </c>
      <c r="K133" s="10" t="s">
        <v>0</v>
      </c>
      <c r="L133" s="5">
        <f>L61+L97</f>
        <v>1233825</v>
      </c>
      <c r="M133" s="5">
        <f>M61+M97</f>
        <v>795</v>
      </c>
      <c r="N133" s="4">
        <f>(M133/L133)*100000</f>
        <v>64.43377302291654</v>
      </c>
      <c r="O133" s="4">
        <f>LN(N133)</f>
        <v>4.1656379214688295</v>
      </c>
      <c r="P133" s="10">
        <v>-2E-3</v>
      </c>
      <c r="Q133" s="3">
        <f>(EXP(P133)-1)*100</f>
        <v>-0.1998001332666921</v>
      </c>
      <c r="R133" s="3">
        <f>(EXP(-0.034)-1)*100</f>
        <v>-3.3428495362493371</v>
      </c>
      <c r="S133" s="3">
        <f>(EXP(0.03)-1)*100</f>
        <v>3.0454533953516938</v>
      </c>
      <c r="T133" s="10">
        <v>0.87050000000000005</v>
      </c>
      <c r="U133" s="5">
        <f>U61+U97</f>
        <v>551504</v>
      </c>
      <c r="V133" s="5">
        <f>V61+V97</f>
        <v>2793</v>
      </c>
      <c r="W133" s="4">
        <f>(V133/U133)*100000</f>
        <v>506.43331689344046</v>
      </c>
      <c r="X133" s="4">
        <f>LN(W133)</f>
        <v>6.227392660319504</v>
      </c>
      <c r="Y133" s="10">
        <v>1.7100000000000001E-2</v>
      </c>
      <c r="Z133" s="3">
        <f>(EXP(Y133)-1)*100</f>
        <v>1.7247041943369457</v>
      </c>
      <c r="AA133" s="3">
        <f>(EXP(-0.011)-1)*100</f>
        <v>-1.0939721224631271</v>
      </c>
      <c r="AB133" s="3">
        <f>(EXP(0.045)-1)*100</f>
        <v>4.6027859908716939</v>
      </c>
      <c r="AC133" s="10">
        <v>0.16589999999999999</v>
      </c>
    </row>
    <row r="134" spans="1:29" ht="15" thickBot="1" x14ac:dyDescent="0.35">
      <c r="A134" s="9"/>
      <c r="B134" s="6">
        <v>2017</v>
      </c>
      <c r="C134" s="5">
        <f>C62+C98</f>
        <v>2493488</v>
      </c>
      <c r="D134" s="5">
        <f>D62+D98</f>
        <v>133</v>
      </c>
      <c r="E134" s="4">
        <f>(D134/C134)*100000</f>
        <v>5.3338937263784709</v>
      </c>
      <c r="F134" s="4">
        <f>LN(E134)</f>
        <v>1.6740815017477808</v>
      </c>
      <c r="G134" s="8"/>
      <c r="H134" s="3"/>
      <c r="I134" s="3"/>
      <c r="J134" s="3"/>
      <c r="K134" s="8"/>
      <c r="L134" s="5">
        <f>L62+L98</f>
        <v>1287572</v>
      </c>
      <c r="M134" s="5">
        <f>M62+M98</f>
        <v>840</v>
      </c>
      <c r="N134" s="4">
        <f>(M134/L134)*100000</f>
        <v>65.239070125787137</v>
      </c>
      <c r="O134" s="4">
        <f>LN(N134)</f>
        <v>4.1780585245210577</v>
      </c>
      <c r="P134" s="8"/>
      <c r="Q134" s="3"/>
      <c r="R134" s="3"/>
      <c r="S134" s="3"/>
      <c r="T134" s="8"/>
      <c r="U134" s="5">
        <f>U62+U98</f>
        <v>573716</v>
      </c>
      <c r="V134" s="5">
        <f>V62+V98</f>
        <v>3013</v>
      </c>
      <c r="W134" s="4">
        <f>(V134/U134)*100000</f>
        <v>525.17273354760891</v>
      </c>
      <c r="X134" s="4">
        <f>LN(W134)</f>
        <v>6.2637272247587958</v>
      </c>
      <c r="Y134" s="8"/>
      <c r="Z134" s="3"/>
      <c r="AA134" s="3"/>
      <c r="AB134" s="3"/>
      <c r="AC134" s="8"/>
    </row>
    <row r="135" spans="1:29" ht="15" thickBot="1" x14ac:dyDescent="0.35">
      <c r="A135" s="9"/>
      <c r="B135" s="6">
        <v>2018</v>
      </c>
      <c r="C135" s="5">
        <f>C63+C99</f>
        <v>2588376</v>
      </c>
      <c r="D135" s="5">
        <f>D63+D99</f>
        <v>166</v>
      </c>
      <c r="E135" s="4">
        <f>(D135/C135)*100000</f>
        <v>6.4132877139951843</v>
      </c>
      <c r="F135" s="4">
        <f>LN(E135)</f>
        <v>1.8583720433417377</v>
      </c>
      <c r="G135" s="8"/>
      <c r="H135" s="3"/>
      <c r="I135" s="3"/>
      <c r="J135" s="3"/>
      <c r="K135" s="8"/>
      <c r="L135" s="5">
        <f>L63+L99</f>
        <v>1346287</v>
      </c>
      <c r="M135" s="5">
        <f>M63+M99</f>
        <v>935</v>
      </c>
      <c r="N135" s="4">
        <f>(M135/L135)*100000</f>
        <v>69.450273232973359</v>
      </c>
      <c r="O135" s="4">
        <f>LN(N135)</f>
        <v>4.2406110034326909</v>
      </c>
      <c r="P135" s="8"/>
      <c r="Q135" s="3"/>
      <c r="R135" s="3"/>
      <c r="S135" s="3"/>
      <c r="T135" s="8"/>
      <c r="U135" s="5">
        <f>U63+U99</f>
        <v>597135</v>
      </c>
      <c r="V135" s="5">
        <f>V63+V99</f>
        <v>3381</v>
      </c>
      <c r="W135" s="4">
        <f>(V135/U135)*100000</f>
        <v>566.2036222964656</v>
      </c>
      <c r="X135" s="4">
        <f>LN(W135)</f>
        <v>6.3389537702137915</v>
      </c>
      <c r="Y135" s="8"/>
      <c r="Z135" s="3"/>
      <c r="AA135" s="3"/>
      <c r="AB135" s="3"/>
      <c r="AC135" s="8"/>
    </row>
    <row r="136" spans="1:29" ht="15" thickBot="1" x14ac:dyDescent="0.35">
      <c r="A136" s="9"/>
      <c r="B136" s="6">
        <v>2019</v>
      </c>
      <c r="C136" s="5">
        <f>C64+C100</f>
        <v>2683602</v>
      </c>
      <c r="D136" s="5">
        <f>D64+D100</f>
        <v>190</v>
      </c>
      <c r="E136" s="4">
        <f>(D136/C136)*100000</f>
        <v>7.0800364584614259</v>
      </c>
      <c r="F136" s="4">
        <f>LN(E136)</f>
        <v>1.9572790571925711</v>
      </c>
      <c r="G136" s="8"/>
      <c r="H136" s="3"/>
      <c r="I136" s="3"/>
      <c r="J136" s="3"/>
      <c r="K136" s="8"/>
      <c r="L136" s="5">
        <f>L64+L100</f>
        <v>1410011</v>
      </c>
      <c r="M136" s="5">
        <f>M64+M100</f>
        <v>967</v>
      </c>
      <c r="N136" s="4">
        <f>(M136/L136)*100000</f>
        <v>68.581025254412907</v>
      </c>
      <c r="O136" s="4">
        <f>LN(N136)</f>
        <v>4.2280158966811632</v>
      </c>
      <c r="P136" s="8"/>
      <c r="Q136" s="3"/>
      <c r="R136" s="3"/>
      <c r="S136" s="3"/>
      <c r="T136" s="8"/>
      <c r="U136" s="5">
        <f>U64+U100</f>
        <v>621910</v>
      </c>
      <c r="V136" s="5">
        <f>V64+V100</f>
        <v>3503</v>
      </c>
      <c r="W136" s="4">
        <f>(V136/U136)*100000</f>
        <v>563.26478107764797</v>
      </c>
      <c r="X136" s="4">
        <f>LN(W136)</f>
        <v>6.333749821449425</v>
      </c>
      <c r="Y136" s="8"/>
      <c r="Z136" s="3"/>
      <c r="AA136" s="3"/>
      <c r="AB136" s="3"/>
      <c r="AC136" s="8"/>
    </row>
    <row r="137" spans="1:29" ht="15" thickBot="1" x14ac:dyDescent="0.35">
      <c r="A137" s="9"/>
      <c r="B137" s="6">
        <v>2020</v>
      </c>
      <c r="C137" s="5">
        <f>C65+C101</f>
        <v>2777056</v>
      </c>
      <c r="D137" s="5">
        <f>D65+D101</f>
        <v>159</v>
      </c>
      <c r="E137" s="4">
        <f>(D137/C137)*100000</f>
        <v>5.725487710726755</v>
      </c>
      <c r="F137" s="4">
        <f>LN(E137)</f>
        <v>1.7449277354584662</v>
      </c>
      <c r="G137" s="8"/>
      <c r="H137" s="3"/>
      <c r="I137" s="3"/>
      <c r="J137" s="3"/>
      <c r="K137" s="8"/>
      <c r="L137" s="5">
        <f>L65+L101</f>
        <v>1477020</v>
      </c>
      <c r="M137" s="5">
        <f>M65+M101</f>
        <v>926</v>
      </c>
      <c r="N137" s="4">
        <f>(M137/L137)*100000</f>
        <v>62.693802385885093</v>
      </c>
      <c r="O137" s="4">
        <f>LN(N137)</f>
        <v>4.1382625972331608</v>
      </c>
      <c r="P137" s="8"/>
      <c r="Q137" s="3"/>
      <c r="R137" s="3"/>
      <c r="S137" s="3"/>
      <c r="T137" s="8"/>
      <c r="U137" s="5">
        <f>U65+U101</f>
        <v>646689</v>
      </c>
      <c r="V137" s="5">
        <f>V65+V101</f>
        <v>3450</v>
      </c>
      <c r="W137" s="4">
        <f>(V137/U137)*100000</f>
        <v>533.48673009746562</v>
      </c>
      <c r="X137" s="4">
        <f>LN(W137)</f>
        <v>6.2794341971381149</v>
      </c>
      <c r="Y137" s="8"/>
      <c r="Z137" s="3"/>
      <c r="AA137" s="3"/>
      <c r="AB137" s="3"/>
      <c r="AC137" s="8"/>
    </row>
    <row r="138" spans="1:29" ht="15" thickBot="1" x14ac:dyDescent="0.35">
      <c r="A138" s="7"/>
      <c r="B138" s="6">
        <v>2021</v>
      </c>
      <c r="C138" s="5">
        <f>C66+C102</f>
        <v>2861540</v>
      </c>
      <c r="D138" s="5">
        <f>D66+D102</f>
        <v>204</v>
      </c>
      <c r="E138" s="4">
        <f>(D138/C138)*100000</f>
        <v>7.1290284252535345</v>
      </c>
      <c r="F138" s="4">
        <f>LN(E138)</f>
        <v>1.9641749593983424</v>
      </c>
      <c r="G138" s="2"/>
      <c r="H138" s="3"/>
      <c r="I138" s="3"/>
      <c r="J138" s="3"/>
      <c r="K138" s="2"/>
      <c r="L138" s="5">
        <f>L66+L102</f>
        <v>1540876</v>
      </c>
      <c r="M138" s="5">
        <f>M66+M102</f>
        <v>1020</v>
      </c>
      <c r="N138" s="4">
        <f>(M138/L138)*100000</f>
        <v>66.196111822106388</v>
      </c>
      <c r="O138" s="4">
        <f>LN(N138)</f>
        <v>4.1926217274130257</v>
      </c>
      <c r="P138" s="2"/>
      <c r="Q138" s="3"/>
      <c r="R138" s="3"/>
      <c r="S138" s="3"/>
      <c r="T138" s="2"/>
      <c r="U138" s="5">
        <f>U66+U102</f>
        <v>665224</v>
      </c>
      <c r="V138" s="5">
        <f>V66+V102</f>
        <v>3967</v>
      </c>
      <c r="W138" s="4">
        <f>(V138/U138)*100000</f>
        <v>596.34048080045216</v>
      </c>
      <c r="X138" s="4">
        <f>LN(W138)</f>
        <v>6.3908117804598694</v>
      </c>
      <c r="Y138" s="2"/>
      <c r="Z138" s="3"/>
      <c r="AA138" s="3"/>
      <c r="AB138" s="3"/>
      <c r="AC138" s="2"/>
    </row>
    <row r="142" spans="1:29" x14ac:dyDescent="0.3">
      <c r="D142" s="1"/>
    </row>
    <row r="143" spans="1:29" x14ac:dyDescent="0.3">
      <c r="D143" s="1"/>
    </row>
  </sheetData>
  <mergeCells count="384">
    <mergeCell ref="BW35:BZ35"/>
    <mergeCell ref="CA35:CD35"/>
    <mergeCell ref="CE35:CH35"/>
    <mergeCell ref="CI35:CL35"/>
    <mergeCell ref="CA1:CD1"/>
    <mergeCell ref="CE1:CH1"/>
    <mergeCell ref="CI1:CL1"/>
    <mergeCell ref="BG1:BJ1"/>
    <mergeCell ref="BK1:BN1"/>
    <mergeCell ref="BO1:BR1"/>
    <mergeCell ref="BS1:BV1"/>
    <mergeCell ref="BW1:BZ1"/>
    <mergeCell ref="BO71:BR71"/>
    <mergeCell ref="BS71:BV71"/>
    <mergeCell ref="BW71:BZ71"/>
    <mergeCell ref="CA71:CD71"/>
    <mergeCell ref="CE71:CH71"/>
    <mergeCell ref="CI71:CL71"/>
    <mergeCell ref="BS35:BV35"/>
    <mergeCell ref="AQ35:AT35"/>
    <mergeCell ref="AU35:AX35"/>
    <mergeCell ref="AY35:BB35"/>
    <mergeCell ref="AQ71:AT71"/>
    <mergeCell ref="AU71:AX71"/>
    <mergeCell ref="AY71:BB71"/>
    <mergeCell ref="BC71:BF71"/>
    <mergeCell ref="BG71:BJ71"/>
    <mergeCell ref="BK71:BN71"/>
    <mergeCell ref="T61:T66"/>
    <mergeCell ref="Y61:Y66"/>
    <mergeCell ref="BC35:BF35"/>
    <mergeCell ref="BG35:BJ35"/>
    <mergeCell ref="BK35:BN35"/>
    <mergeCell ref="BO35:BR35"/>
    <mergeCell ref="AC79:AC84"/>
    <mergeCell ref="T73:T78"/>
    <mergeCell ref="Y73:Y78"/>
    <mergeCell ref="AC73:AC78"/>
    <mergeCell ref="Z73:Z78"/>
    <mergeCell ref="Z79:Z84"/>
    <mergeCell ref="T97:T102"/>
    <mergeCell ref="Y97:Y102"/>
    <mergeCell ref="AC97:AC102"/>
    <mergeCell ref="AC91:AC96"/>
    <mergeCell ref="T85:T90"/>
    <mergeCell ref="Y85:Y90"/>
    <mergeCell ref="AC85:AC90"/>
    <mergeCell ref="Z85:Z90"/>
    <mergeCell ref="Z91:Z96"/>
    <mergeCell ref="Z97:Z102"/>
    <mergeCell ref="AE35:AH35"/>
    <mergeCell ref="AI35:AL35"/>
    <mergeCell ref="AE71:AH71"/>
    <mergeCell ref="AI71:AL71"/>
    <mergeCell ref="AM71:AP71"/>
    <mergeCell ref="AM35:AP35"/>
    <mergeCell ref="R97:R102"/>
    <mergeCell ref="S97:S102"/>
    <mergeCell ref="H91:H96"/>
    <mergeCell ref="H97:H102"/>
    <mergeCell ref="Q91:Q96"/>
    <mergeCell ref="Q97:Q102"/>
    <mergeCell ref="T91:T96"/>
    <mergeCell ref="Y91:Y96"/>
    <mergeCell ref="A91:A96"/>
    <mergeCell ref="G91:G96"/>
    <mergeCell ref="K91:K96"/>
    <mergeCell ref="P91:P96"/>
    <mergeCell ref="I91:I96"/>
    <mergeCell ref="J91:J96"/>
    <mergeCell ref="R91:R96"/>
    <mergeCell ref="S91:S96"/>
    <mergeCell ref="H85:H90"/>
    <mergeCell ref="Q79:Q84"/>
    <mergeCell ref="Q85:Q90"/>
    <mergeCell ref="A97:A102"/>
    <mergeCell ref="G97:G102"/>
    <mergeCell ref="K97:K102"/>
    <mergeCell ref="P97:P102"/>
    <mergeCell ref="I97:I102"/>
    <mergeCell ref="J97:J102"/>
    <mergeCell ref="Y79:Y84"/>
    <mergeCell ref="A79:A84"/>
    <mergeCell ref="G79:G84"/>
    <mergeCell ref="K79:K84"/>
    <mergeCell ref="P79:P84"/>
    <mergeCell ref="I79:I84"/>
    <mergeCell ref="J79:J84"/>
    <mergeCell ref="R79:R84"/>
    <mergeCell ref="S79:S84"/>
    <mergeCell ref="H79:H84"/>
    <mergeCell ref="Q73:Q78"/>
    <mergeCell ref="A85:A90"/>
    <mergeCell ref="G85:G90"/>
    <mergeCell ref="K85:K90"/>
    <mergeCell ref="P85:P90"/>
    <mergeCell ref="T79:T84"/>
    <mergeCell ref="I85:I90"/>
    <mergeCell ref="J85:J90"/>
    <mergeCell ref="R85:R90"/>
    <mergeCell ref="S85:S90"/>
    <mergeCell ref="C71:K71"/>
    <mergeCell ref="L71:T71"/>
    <mergeCell ref="U71:AC71"/>
    <mergeCell ref="I73:I78"/>
    <mergeCell ref="J73:J78"/>
    <mergeCell ref="R73:R78"/>
    <mergeCell ref="S73:S78"/>
    <mergeCell ref="AA73:AA78"/>
    <mergeCell ref="AB73:AB78"/>
    <mergeCell ref="H73:H78"/>
    <mergeCell ref="J61:J66"/>
    <mergeCell ref="Z61:Z66"/>
    <mergeCell ref="H61:H66"/>
    <mergeCell ref="Q61:Q66"/>
    <mergeCell ref="A73:A78"/>
    <mergeCell ref="G73:G78"/>
    <mergeCell ref="K73:K78"/>
    <mergeCell ref="P73:P78"/>
    <mergeCell ref="A70:AC70"/>
    <mergeCell ref="A71:B71"/>
    <mergeCell ref="AC61:AC66"/>
    <mergeCell ref="A61:A66"/>
    <mergeCell ref="G61:G66"/>
    <mergeCell ref="K61:K66"/>
    <mergeCell ref="P61:P66"/>
    <mergeCell ref="AA61:AA66"/>
    <mergeCell ref="AB61:AB66"/>
    <mergeCell ref="R61:R66"/>
    <mergeCell ref="S61:S66"/>
    <mergeCell ref="I61:I66"/>
    <mergeCell ref="S55:S60"/>
    <mergeCell ref="I55:I60"/>
    <mergeCell ref="J55:J60"/>
    <mergeCell ref="Z55:Z60"/>
    <mergeCell ref="H55:H60"/>
    <mergeCell ref="Q55:Q60"/>
    <mergeCell ref="T55:T60"/>
    <mergeCell ref="Y55:Y60"/>
    <mergeCell ref="AC55:AC60"/>
    <mergeCell ref="A55:A60"/>
    <mergeCell ref="G55:G60"/>
    <mergeCell ref="K55:K60"/>
    <mergeCell ref="P55:P60"/>
    <mergeCell ref="AA55:AA60"/>
    <mergeCell ref="AB55:AB60"/>
    <mergeCell ref="R55:R60"/>
    <mergeCell ref="S49:S54"/>
    <mergeCell ref="I49:I54"/>
    <mergeCell ref="J49:J54"/>
    <mergeCell ref="Z49:Z54"/>
    <mergeCell ref="H49:H54"/>
    <mergeCell ref="Q49:Q54"/>
    <mergeCell ref="T49:T54"/>
    <mergeCell ref="Y49:Y54"/>
    <mergeCell ref="AC49:AC54"/>
    <mergeCell ref="A49:A54"/>
    <mergeCell ref="G49:G54"/>
    <mergeCell ref="K49:K54"/>
    <mergeCell ref="P49:P54"/>
    <mergeCell ref="AA49:AA54"/>
    <mergeCell ref="AB49:AB54"/>
    <mergeCell ref="R49:R54"/>
    <mergeCell ref="S43:S48"/>
    <mergeCell ref="I43:I48"/>
    <mergeCell ref="J43:J48"/>
    <mergeCell ref="Z43:Z48"/>
    <mergeCell ref="H43:H48"/>
    <mergeCell ref="Q43:Q48"/>
    <mergeCell ref="T43:T48"/>
    <mergeCell ref="Y43:Y48"/>
    <mergeCell ref="AC43:AC48"/>
    <mergeCell ref="A43:A48"/>
    <mergeCell ref="G43:G48"/>
    <mergeCell ref="K43:K48"/>
    <mergeCell ref="P43:P48"/>
    <mergeCell ref="AA43:AA48"/>
    <mergeCell ref="AB43:AB48"/>
    <mergeCell ref="R43:R48"/>
    <mergeCell ref="AA37:AA42"/>
    <mergeCell ref="AB37:AB42"/>
    <mergeCell ref="R37:R42"/>
    <mergeCell ref="S37:S42"/>
    <mergeCell ref="I37:I42"/>
    <mergeCell ref="J37:J42"/>
    <mergeCell ref="Z37:Z42"/>
    <mergeCell ref="T15:T20"/>
    <mergeCell ref="Y15:Y20"/>
    <mergeCell ref="Z15:Z20"/>
    <mergeCell ref="AC15:AC20"/>
    <mergeCell ref="I27:I32"/>
    <mergeCell ref="J27:J32"/>
    <mergeCell ref="R27:R32"/>
    <mergeCell ref="S27:S32"/>
    <mergeCell ref="AU1:AX1"/>
    <mergeCell ref="AY1:BB1"/>
    <mergeCell ref="G27:G32"/>
    <mergeCell ref="H27:H32"/>
    <mergeCell ref="K27:K32"/>
    <mergeCell ref="T27:T32"/>
    <mergeCell ref="Y27:Y32"/>
    <mergeCell ref="Z27:Z32"/>
    <mergeCell ref="AC27:AC32"/>
    <mergeCell ref="P27:P32"/>
    <mergeCell ref="T9:T14"/>
    <mergeCell ref="Y9:Y14"/>
    <mergeCell ref="Z9:Z14"/>
    <mergeCell ref="AC9:AC14"/>
    <mergeCell ref="AM1:AP1"/>
    <mergeCell ref="AQ1:AT1"/>
    <mergeCell ref="T3:T8"/>
    <mergeCell ref="Y3:Y8"/>
    <mergeCell ref="AA3:AA8"/>
    <mergeCell ref="AC3:AC8"/>
    <mergeCell ref="U1:AC1"/>
    <mergeCell ref="K21:K26"/>
    <mergeCell ref="AI1:AL1"/>
    <mergeCell ref="G3:G8"/>
    <mergeCell ref="H3:H8"/>
    <mergeCell ref="K3:K8"/>
    <mergeCell ref="G9:G14"/>
    <mergeCell ref="H9:H14"/>
    <mergeCell ref="K9:K14"/>
    <mergeCell ref="BC1:BF1"/>
    <mergeCell ref="AE1:AH1"/>
    <mergeCell ref="G15:G20"/>
    <mergeCell ref="H15:H20"/>
    <mergeCell ref="K15:K20"/>
    <mergeCell ref="G21:G26"/>
    <mergeCell ref="H21:H26"/>
    <mergeCell ref="T21:T26"/>
    <mergeCell ref="Y21:Y26"/>
    <mergeCell ref="Z3:Z8"/>
    <mergeCell ref="Z21:Z26"/>
    <mergeCell ref="AC21:AC26"/>
    <mergeCell ref="I15:I20"/>
    <mergeCell ref="J15:J20"/>
    <mergeCell ref="I21:I26"/>
    <mergeCell ref="J21:J26"/>
    <mergeCell ref="R15:R20"/>
    <mergeCell ref="S15:S20"/>
    <mergeCell ref="R21:R26"/>
    <mergeCell ref="S21:S26"/>
    <mergeCell ref="A21:A26"/>
    <mergeCell ref="P21:P26"/>
    <mergeCell ref="Q21:Q26"/>
    <mergeCell ref="A15:A20"/>
    <mergeCell ref="P15:P20"/>
    <mergeCell ref="Q15:Q20"/>
    <mergeCell ref="J3:J8"/>
    <mergeCell ref="I9:I14"/>
    <mergeCell ref="J9:J14"/>
    <mergeCell ref="R3:R8"/>
    <mergeCell ref="S3:S8"/>
    <mergeCell ref="R9:R14"/>
    <mergeCell ref="S9:S14"/>
    <mergeCell ref="A9:A14"/>
    <mergeCell ref="P9:P14"/>
    <mergeCell ref="Q9:Q14"/>
    <mergeCell ref="A1:B1"/>
    <mergeCell ref="C1:K1"/>
    <mergeCell ref="L1:T1"/>
    <mergeCell ref="A3:A8"/>
    <mergeCell ref="P3:P8"/>
    <mergeCell ref="Q3:Q8"/>
    <mergeCell ref="I3:I8"/>
    <mergeCell ref="AB3:AB8"/>
    <mergeCell ref="AA9:AA14"/>
    <mergeCell ref="AB9:AB14"/>
    <mergeCell ref="AA15:AA20"/>
    <mergeCell ref="AB15:AB20"/>
    <mergeCell ref="AA21:AA26"/>
    <mergeCell ref="AB21:AB26"/>
    <mergeCell ref="A27:A32"/>
    <mergeCell ref="T37:T42"/>
    <mergeCell ref="Y37:Y42"/>
    <mergeCell ref="AC37:AC42"/>
    <mergeCell ref="H37:H42"/>
    <mergeCell ref="Q37:Q42"/>
    <mergeCell ref="AA27:AA32"/>
    <mergeCell ref="AB27:AB32"/>
    <mergeCell ref="Q27:Q32"/>
    <mergeCell ref="A37:A42"/>
    <mergeCell ref="AA97:AA102"/>
    <mergeCell ref="AB97:AB102"/>
    <mergeCell ref="A34:AC34"/>
    <mergeCell ref="A35:B35"/>
    <mergeCell ref="C35:K35"/>
    <mergeCell ref="L35:T35"/>
    <mergeCell ref="U35:AC35"/>
    <mergeCell ref="G37:G42"/>
    <mergeCell ref="K37:K42"/>
    <mergeCell ref="P37:P42"/>
    <mergeCell ref="AA79:AA84"/>
    <mergeCell ref="AB79:AB84"/>
    <mergeCell ref="AA85:AA90"/>
    <mergeCell ref="AB85:AB90"/>
    <mergeCell ref="AA91:AA96"/>
    <mergeCell ref="AB91:AB96"/>
    <mergeCell ref="T109:T114"/>
    <mergeCell ref="Y109:Y114"/>
    <mergeCell ref="Z109:Z114"/>
    <mergeCell ref="AA109:AA114"/>
    <mergeCell ref="AB109:AB114"/>
    <mergeCell ref="AC109:AC114"/>
    <mergeCell ref="J109:J114"/>
    <mergeCell ref="K109:K114"/>
    <mergeCell ref="P109:P114"/>
    <mergeCell ref="Q109:Q114"/>
    <mergeCell ref="R109:R114"/>
    <mergeCell ref="S109:S114"/>
    <mergeCell ref="P115:P120"/>
    <mergeCell ref="A106:AC106"/>
    <mergeCell ref="A107:B107"/>
    <mergeCell ref="C107:K107"/>
    <mergeCell ref="L107:T107"/>
    <mergeCell ref="U107:AC107"/>
    <mergeCell ref="A109:A114"/>
    <mergeCell ref="G109:G114"/>
    <mergeCell ref="H109:H114"/>
    <mergeCell ref="I109:I114"/>
    <mergeCell ref="A115:A120"/>
    <mergeCell ref="G115:G120"/>
    <mergeCell ref="H115:H120"/>
    <mergeCell ref="I115:I120"/>
    <mergeCell ref="J115:J120"/>
    <mergeCell ref="K115:K120"/>
    <mergeCell ref="AB121:AB126"/>
    <mergeCell ref="AC121:AC126"/>
    <mergeCell ref="Q115:Q120"/>
    <mergeCell ref="R115:R120"/>
    <mergeCell ref="S115:S120"/>
    <mergeCell ref="T115:T120"/>
    <mergeCell ref="Y115:Y120"/>
    <mergeCell ref="Z115:Z120"/>
    <mergeCell ref="AA115:AA120"/>
    <mergeCell ref="AB115:AB120"/>
    <mergeCell ref="R121:R126"/>
    <mergeCell ref="S121:S126"/>
    <mergeCell ref="T121:T126"/>
    <mergeCell ref="Y121:Y126"/>
    <mergeCell ref="Z121:Z126"/>
    <mergeCell ref="AA121:AA126"/>
    <mergeCell ref="P127:P132"/>
    <mergeCell ref="AC115:AC120"/>
    <mergeCell ref="A121:A126"/>
    <mergeCell ref="G121:G126"/>
    <mergeCell ref="H121:H126"/>
    <mergeCell ref="I121:I126"/>
    <mergeCell ref="J121:J126"/>
    <mergeCell ref="K121:K126"/>
    <mergeCell ref="P121:P126"/>
    <mergeCell ref="Q121:Q126"/>
    <mergeCell ref="A127:A132"/>
    <mergeCell ref="G127:G132"/>
    <mergeCell ref="H127:H132"/>
    <mergeCell ref="I127:I132"/>
    <mergeCell ref="J127:J132"/>
    <mergeCell ref="K127:K132"/>
    <mergeCell ref="AC133:AC138"/>
    <mergeCell ref="Q127:Q132"/>
    <mergeCell ref="R127:R132"/>
    <mergeCell ref="S127:S132"/>
    <mergeCell ref="T127:T132"/>
    <mergeCell ref="Y127:Y132"/>
    <mergeCell ref="Z127:Z132"/>
    <mergeCell ref="AA127:AA132"/>
    <mergeCell ref="AB127:AB132"/>
    <mergeCell ref="S133:S138"/>
    <mergeCell ref="T133:T138"/>
    <mergeCell ref="Y133:Y138"/>
    <mergeCell ref="Z133:Z138"/>
    <mergeCell ref="AA133:AA138"/>
    <mergeCell ref="AB133:AB138"/>
    <mergeCell ref="AC127:AC132"/>
    <mergeCell ref="A133:A138"/>
    <mergeCell ref="G133:G138"/>
    <mergeCell ref="H133:H138"/>
    <mergeCell ref="I133:I138"/>
    <mergeCell ref="J133:J138"/>
    <mergeCell ref="K133:K138"/>
    <mergeCell ref="P133:P138"/>
    <mergeCell ref="Q133:Q138"/>
    <mergeCell ref="R133:R138"/>
  </mergeCells>
  <pageMargins left="0.23622047244094491" right="0.23622047244094491" top="0.74803149606299213" bottom="0.74803149606299213" header="0.31496062992125984" footer="0.31496062992125984"/>
  <pageSetup paperSize="9" fitToHeight="0" pageOrder="overThenDown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Nathalya Rocha</dc:creator>
  <cp:lastModifiedBy>Nathalya Rocha</cp:lastModifiedBy>
  <dcterms:created xsi:type="dcterms:W3CDTF">2026-01-20T20:41:35Z</dcterms:created>
  <dcterms:modified xsi:type="dcterms:W3CDTF">2026-01-20T20:43:18Z</dcterms:modified>
</cp:coreProperties>
</file>