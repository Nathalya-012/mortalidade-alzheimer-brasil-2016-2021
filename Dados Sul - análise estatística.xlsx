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14be7dba2fa50b/Documentos/faculdade/tcc/Github/"/>
    </mc:Choice>
  </mc:AlternateContent>
  <xr:revisionPtr revIDLastSave="0" documentId="8_{114304BA-6E2F-4B98-912C-301B6CE86D4A}" xr6:coauthVersionLast="47" xr6:coauthVersionMax="47" xr10:uidLastSave="{00000000-0000-0000-0000-000000000000}"/>
  <bookViews>
    <workbookView xWindow="-108" yWindow="-108" windowWidth="23256" windowHeight="12456" xr2:uid="{346BBF25-A864-47C5-8181-EB7F3E710E54}"/>
  </bookViews>
  <sheets>
    <sheet name="s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1" l="1"/>
  <c r="X95" i="1" s="1"/>
  <c r="N95" i="1"/>
  <c r="O95" i="1" s="1"/>
  <c r="E95" i="1"/>
  <c r="F95" i="1" s="1"/>
  <c r="W94" i="1"/>
  <c r="X94" i="1" s="1"/>
  <c r="N94" i="1"/>
  <c r="O94" i="1" s="1"/>
  <c r="E94" i="1"/>
  <c r="F94" i="1" s="1"/>
  <c r="X93" i="1"/>
  <c r="W93" i="1"/>
  <c r="O93" i="1"/>
  <c r="N93" i="1"/>
  <c r="E93" i="1"/>
  <c r="F93" i="1" s="1"/>
  <c r="W92" i="1"/>
  <c r="X92" i="1" s="1"/>
  <c r="O92" i="1"/>
  <c r="N92" i="1"/>
  <c r="F92" i="1"/>
  <c r="E92" i="1"/>
  <c r="W91" i="1"/>
  <c r="X91" i="1" s="1"/>
  <c r="N91" i="1"/>
  <c r="O91" i="1" s="1"/>
  <c r="F91" i="1"/>
  <c r="E91" i="1"/>
  <c r="AB90" i="1"/>
  <c r="AA90" i="1"/>
  <c r="Z90" i="1"/>
  <c r="W90" i="1"/>
  <c r="X90" i="1" s="1"/>
  <c r="S90" i="1"/>
  <c r="R90" i="1"/>
  <c r="Q90" i="1"/>
  <c r="N90" i="1"/>
  <c r="O90" i="1" s="1"/>
  <c r="J90" i="1"/>
  <c r="I90" i="1"/>
  <c r="H90" i="1"/>
  <c r="E90" i="1"/>
  <c r="F90" i="1" s="1"/>
  <c r="W89" i="1"/>
  <c r="X89" i="1" s="1"/>
  <c r="O89" i="1"/>
  <c r="N89" i="1"/>
  <c r="F89" i="1"/>
  <c r="E89" i="1"/>
  <c r="W88" i="1"/>
  <c r="X88" i="1" s="1"/>
  <c r="N88" i="1"/>
  <c r="O88" i="1" s="1"/>
  <c r="F88" i="1"/>
  <c r="E88" i="1"/>
  <c r="X87" i="1"/>
  <c r="W87" i="1"/>
  <c r="N87" i="1"/>
  <c r="O87" i="1" s="1"/>
  <c r="E87" i="1"/>
  <c r="F87" i="1" s="1"/>
  <c r="X86" i="1"/>
  <c r="W86" i="1"/>
  <c r="O86" i="1"/>
  <c r="N86" i="1"/>
  <c r="E86" i="1"/>
  <c r="F86" i="1" s="1"/>
  <c r="W85" i="1"/>
  <c r="X85" i="1" s="1"/>
  <c r="O85" i="1"/>
  <c r="N85" i="1"/>
  <c r="F85" i="1"/>
  <c r="E85" i="1"/>
  <c r="AB84" i="1"/>
  <c r="AA84" i="1"/>
  <c r="Z84" i="1"/>
  <c r="W84" i="1"/>
  <c r="X84" i="1" s="1"/>
  <c r="S84" i="1"/>
  <c r="R84" i="1"/>
  <c r="Q84" i="1"/>
  <c r="N84" i="1"/>
  <c r="O84" i="1" s="1"/>
  <c r="J84" i="1"/>
  <c r="I84" i="1"/>
  <c r="H84" i="1"/>
  <c r="E84" i="1"/>
  <c r="F84" i="1" s="1"/>
  <c r="X83" i="1"/>
  <c r="W83" i="1"/>
  <c r="N83" i="1"/>
  <c r="O83" i="1" s="1"/>
  <c r="E83" i="1"/>
  <c r="F83" i="1" s="1"/>
  <c r="W82" i="1"/>
  <c r="X82" i="1" s="1"/>
  <c r="O82" i="1"/>
  <c r="N82" i="1"/>
  <c r="E82" i="1"/>
  <c r="F82" i="1" s="1"/>
  <c r="W81" i="1"/>
  <c r="X81" i="1" s="1"/>
  <c r="N81" i="1"/>
  <c r="O81" i="1" s="1"/>
  <c r="F81" i="1"/>
  <c r="E81" i="1"/>
  <c r="W80" i="1"/>
  <c r="X80" i="1" s="1"/>
  <c r="N80" i="1"/>
  <c r="O80" i="1" s="1"/>
  <c r="E80" i="1"/>
  <c r="F80" i="1" s="1"/>
  <c r="X79" i="1"/>
  <c r="W79" i="1"/>
  <c r="N79" i="1"/>
  <c r="O79" i="1" s="1"/>
  <c r="E79" i="1"/>
  <c r="F79" i="1" s="1"/>
  <c r="AB78" i="1"/>
  <c r="AA78" i="1"/>
  <c r="Z78" i="1"/>
  <c r="W78" i="1"/>
  <c r="X78" i="1" s="1"/>
  <c r="S78" i="1"/>
  <c r="R78" i="1"/>
  <c r="Q78" i="1"/>
  <c r="N78" i="1"/>
  <c r="O78" i="1" s="1"/>
  <c r="J78" i="1"/>
  <c r="I78" i="1"/>
  <c r="H78" i="1"/>
  <c r="E78" i="1"/>
  <c r="F78" i="1" s="1"/>
  <c r="X57" i="1"/>
  <c r="W57" i="1"/>
  <c r="O57" i="1"/>
  <c r="N57" i="1"/>
  <c r="E57" i="1"/>
  <c r="F57" i="1" s="1"/>
  <c r="W56" i="1"/>
  <c r="X56" i="1" s="1"/>
  <c r="O56" i="1"/>
  <c r="N56" i="1"/>
  <c r="F56" i="1"/>
  <c r="E56" i="1"/>
  <c r="W55" i="1"/>
  <c r="X55" i="1" s="1"/>
  <c r="N55" i="1"/>
  <c r="O55" i="1" s="1"/>
  <c r="F55" i="1"/>
  <c r="E55" i="1"/>
  <c r="X54" i="1"/>
  <c r="W54" i="1"/>
  <c r="N54" i="1"/>
  <c r="O54" i="1" s="1"/>
  <c r="E54" i="1"/>
  <c r="F54" i="1" s="1"/>
  <c r="X53" i="1"/>
  <c r="W53" i="1"/>
  <c r="O53" i="1"/>
  <c r="N53" i="1"/>
  <c r="E53" i="1"/>
  <c r="F53" i="1" s="1"/>
  <c r="AB52" i="1"/>
  <c r="AA52" i="1"/>
  <c r="Z52" i="1"/>
  <c r="W52" i="1"/>
  <c r="X52" i="1" s="1"/>
  <c r="S52" i="1"/>
  <c r="R52" i="1"/>
  <c r="Q52" i="1"/>
  <c r="N52" i="1"/>
  <c r="O52" i="1" s="1"/>
  <c r="J52" i="1"/>
  <c r="I52" i="1"/>
  <c r="H52" i="1"/>
  <c r="F52" i="1"/>
  <c r="E52" i="1"/>
  <c r="W51" i="1"/>
  <c r="X51" i="1" s="1"/>
  <c r="N51" i="1"/>
  <c r="O51" i="1" s="1"/>
  <c r="E51" i="1"/>
  <c r="F51" i="1" s="1"/>
  <c r="X50" i="1"/>
  <c r="W50" i="1"/>
  <c r="N50" i="1"/>
  <c r="O50" i="1" s="1"/>
  <c r="E50" i="1"/>
  <c r="F50" i="1" s="1"/>
  <c r="W49" i="1"/>
  <c r="X49" i="1" s="1"/>
  <c r="O49" i="1"/>
  <c r="N49" i="1"/>
  <c r="E49" i="1"/>
  <c r="F49" i="1" s="1"/>
  <c r="W48" i="1"/>
  <c r="X48" i="1" s="1"/>
  <c r="N48" i="1"/>
  <c r="O48" i="1" s="1"/>
  <c r="F48" i="1"/>
  <c r="E48" i="1"/>
  <c r="W47" i="1"/>
  <c r="X47" i="1" s="1"/>
  <c r="N47" i="1"/>
  <c r="O47" i="1" s="1"/>
  <c r="E47" i="1"/>
  <c r="F47" i="1" s="1"/>
  <c r="AB46" i="1"/>
  <c r="AA46" i="1"/>
  <c r="Z46" i="1"/>
  <c r="W46" i="1"/>
  <c r="X46" i="1" s="1"/>
  <c r="S46" i="1"/>
  <c r="R46" i="1"/>
  <c r="Q46" i="1"/>
  <c r="O46" i="1"/>
  <c r="N46" i="1"/>
  <c r="J46" i="1"/>
  <c r="I46" i="1"/>
  <c r="H46" i="1"/>
  <c r="F46" i="1"/>
  <c r="E46" i="1"/>
  <c r="X45" i="1"/>
  <c r="W45" i="1"/>
  <c r="N45" i="1"/>
  <c r="O45" i="1" s="1"/>
  <c r="E45" i="1"/>
  <c r="F45" i="1" s="1"/>
  <c r="X44" i="1"/>
  <c r="W44" i="1"/>
  <c r="O44" i="1"/>
  <c r="N44" i="1"/>
  <c r="E44" i="1"/>
  <c r="F44" i="1" s="1"/>
  <c r="W43" i="1"/>
  <c r="X43" i="1" s="1"/>
  <c r="O43" i="1"/>
  <c r="N43" i="1"/>
  <c r="F43" i="1"/>
  <c r="E43" i="1"/>
  <c r="W42" i="1"/>
  <c r="X42" i="1" s="1"/>
  <c r="N42" i="1"/>
  <c r="O42" i="1" s="1"/>
  <c r="F42" i="1"/>
  <c r="E42" i="1"/>
  <c r="X41" i="1"/>
  <c r="W41" i="1"/>
  <c r="N41" i="1"/>
  <c r="O41" i="1" s="1"/>
  <c r="E41" i="1"/>
  <c r="F41" i="1" s="1"/>
  <c r="AB40" i="1"/>
  <c r="AA40" i="1"/>
  <c r="Z40" i="1"/>
  <c r="X40" i="1"/>
  <c r="W40" i="1"/>
  <c r="S40" i="1"/>
  <c r="R40" i="1"/>
  <c r="Q40" i="1"/>
  <c r="O40" i="1"/>
  <c r="N40" i="1"/>
  <c r="J40" i="1"/>
  <c r="I40" i="1"/>
  <c r="H40" i="1"/>
  <c r="E40" i="1"/>
  <c r="F40" i="1" s="1"/>
  <c r="W21" i="1"/>
  <c r="X21" i="1" s="1"/>
  <c r="N21" i="1"/>
  <c r="O21" i="1" s="1"/>
  <c r="F21" i="1"/>
  <c r="E21" i="1"/>
  <c r="W20" i="1"/>
  <c r="X20" i="1" s="1"/>
  <c r="N20" i="1"/>
  <c r="O20" i="1" s="1"/>
  <c r="E20" i="1"/>
  <c r="F20" i="1" s="1"/>
  <c r="X19" i="1"/>
  <c r="W19" i="1"/>
  <c r="N19" i="1"/>
  <c r="O19" i="1" s="1"/>
  <c r="E19" i="1"/>
  <c r="F19" i="1" s="1"/>
  <c r="W18" i="1"/>
  <c r="X18" i="1" s="1"/>
  <c r="O18" i="1"/>
  <c r="N18" i="1"/>
  <c r="E18" i="1"/>
  <c r="F18" i="1" s="1"/>
  <c r="W17" i="1"/>
  <c r="X17" i="1" s="1"/>
  <c r="N17" i="1"/>
  <c r="O17" i="1" s="1"/>
  <c r="F17" i="1"/>
  <c r="E17" i="1"/>
  <c r="AB16" i="1"/>
  <c r="AA16" i="1"/>
  <c r="Z16" i="1"/>
  <c r="X16" i="1"/>
  <c r="W16" i="1"/>
  <c r="S16" i="1"/>
  <c r="R16" i="1"/>
  <c r="Q16" i="1"/>
  <c r="N16" i="1"/>
  <c r="O16" i="1" s="1"/>
  <c r="J16" i="1"/>
  <c r="I16" i="1"/>
  <c r="H16" i="1"/>
  <c r="F16" i="1"/>
  <c r="E16" i="1"/>
  <c r="W15" i="1"/>
  <c r="X15" i="1" s="1"/>
  <c r="N15" i="1"/>
  <c r="O15" i="1" s="1"/>
  <c r="F15" i="1"/>
  <c r="E15" i="1"/>
  <c r="X14" i="1"/>
  <c r="W14" i="1"/>
  <c r="N14" i="1"/>
  <c r="O14" i="1" s="1"/>
  <c r="E14" i="1"/>
  <c r="F14" i="1" s="1"/>
  <c r="X13" i="1"/>
  <c r="W13" i="1"/>
  <c r="O13" i="1"/>
  <c r="N13" i="1"/>
  <c r="E13" i="1"/>
  <c r="F13" i="1" s="1"/>
  <c r="W12" i="1"/>
  <c r="X12" i="1" s="1"/>
  <c r="O12" i="1"/>
  <c r="N12" i="1"/>
  <c r="F12" i="1"/>
  <c r="E12" i="1"/>
  <c r="W11" i="1"/>
  <c r="X11" i="1" s="1"/>
  <c r="N11" i="1"/>
  <c r="O11" i="1" s="1"/>
  <c r="F11" i="1"/>
  <c r="E11" i="1"/>
  <c r="AB10" i="1"/>
  <c r="AA10" i="1"/>
  <c r="Z10" i="1"/>
  <c r="W10" i="1"/>
  <c r="X10" i="1" s="1"/>
  <c r="S10" i="1"/>
  <c r="R10" i="1"/>
  <c r="Q10" i="1"/>
  <c r="O10" i="1"/>
  <c r="N10" i="1"/>
  <c r="J10" i="1"/>
  <c r="I10" i="1"/>
  <c r="H10" i="1"/>
  <c r="E10" i="1"/>
  <c r="F10" i="1" s="1"/>
  <c r="W9" i="1"/>
  <c r="X9" i="1" s="1"/>
  <c r="O9" i="1"/>
  <c r="N9" i="1"/>
  <c r="E9" i="1"/>
  <c r="F9" i="1" s="1"/>
  <c r="W8" i="1"/>
  <c r="X8" i="1" s="1"/>
  <c r="N8" i="1"/>
  <c r="O8" i="1" s="1"/>
  <c r="F8" i="1"/>
  <c r="E8" i="1"/>
  <c r="W7" i="1"/>
  <c r="X7" i="1" s="1"/>
  <c r="N7" i="1"/>
  <c r="O7" i="1" s="1"/>
  <c r="E7" i="1"/>
  <c r="F7" i="1" s="1"/>
  <c r="X6" i="1"/>
  <c r="W6" i="1"/>
  <c r="N6" i="1"/>
  <c r="O6" i="1" s="1"/>
  <c r="E6" i="1"/>
  <c r="F6" i="1" s="1"/>
  <c r="W5" i="1"/>
  <c r="X5" i="1" s="1"/>
  <c r="O5" i="1"/>
  <c r="N5" i="1"/>
  <c r="E5" i="1"/>
  <c r="F5" i="1" s="1"/>
  <c r="AB4" i="1"/>
  <c r="AA4" i="1"/>
  <c r="Z4" i="1"/>
  <c r="X4" i="1"/>
  <c r="W4" i="1"/>
  <c r="S4" i="1"/>
  <c r="R4" i="1"/>
  <c r="Q4" i="1"/>
  <c r="N4" i="1"/>
  <c r="O4" i="1" s="1"/>
  <c r="J4" i="1"/>
  <c r="I4" i="1"/>
  <c r="H4" i="1"/>
  <c r="E4" i="1"/>
  <c r="F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<sst xmlns="http://schemas.openxmlformats.org/spreadsheetml/2006/main" count="985" uniqueCount="250">
  <si>
    <t>Sul</t>
  </si>
  <si>
    <t>Geral</t>
  </si>
  <si>
    <t>Feminina</t>
  </si>
  <si>
    <t>Masculina</t>
  </si>
  <si>
    <r>
      <t xml:space="preserve">Regressão log-linear </t>
    </r>
    <r>
      <rPr>
        <b/>
        <sz val="8"/>
        <color rgb="FFFF0000"/>
        <rFont val="Garamond"/>
        <family val="1"/>
      </rPr>
      <t xml:space="preserve">Geral Paraná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</si>
  <si>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feminino Paraná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</si>
  <si>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masculino Paraná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</si>
  <si>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Geral Rio G. do Sul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</si>
  <si>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feminino Rio G. do Sul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</si>
  <si>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masculino Rio G. do Sul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</si>
  <si>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Geral Santa Catarina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</si>
  <si>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feminino Santa Catarina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</si>
  <si>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masculino Santa Catarina </t>
    </r>
  </si>
  <si>
    <t>Estados</t>
  </si>
  <si>
    <t>ano</t>
  </si>
  <si>
    <t>população</t>
  </si>
  <si>
    <t>óbito</t>
  </si>
  <si>
    <t>Mortalidade /100000 hab.</t>
  </si>
  <si>
    <t>LN</t>
  </si>
  <si>
    <t>coef. De regressão</t>
  </si>
  <si>
    <t>VPA%</t>
  </si>
  <si>
    <t xml:space="preserve">IC95% minimo </t>
  </si>
  <si>
    <t>IC95% máximo</t>
  </si>
  <si>
    <t>p-valor</t>
  </si>
  <si>
    <t>População</t>
  </si>
  <si>
    <t>Fontes de variação</t>
  </si>
  <si>
    <t>GL</t>
  </si>
  <si>
    <t>SQ</t>
  </si>
  <si>
    <t>QM</t>
  </si>
  <si>
    <t>Regressão</t>
  </si>
  <si>
    <t>0.0260</t>
  </si>
  <si>
    <t>Paraná</t>
  </si>
  <si>
    <t>Erro</t>
  </si>
  <si>
    <t>0.0086</t>
  </si>
  <si>
    <t>0.0022</t>
  </si>
  <si>
    <t>Total</t>
  </si>
  <si>
    <t>---</t>
  </si>
  <si>
    <t>0.0347</t>
  </si>
  <si>
    <t>F (regressão) =</t>
  </si>
  <si>
    <t>p = 0.0053</t>
  </si>
  <si>
    <t>p = 0.0030</t>
  </si>
  <si>
    <t>p = 0.0237</t>
  </si>
  <si>
    <t>p = 0.0160</t>
  </si>
  <si>
    <t>p = 0.0239</t>
  </si>
  <si>
    <t>p = 0.0183</t>
  </si>
  <si>
    <t>12.0430</t>
  </si>
  <si>
    <t>p = 0.0263</t>
  </si>
  <si>
    <t>p = 0.0100</t>
  </si>
  <si>
    <t>p = 0.1413</t>
  </si>
  <si>
    <t>Variável dependente =</t>
  </si>
  <si>
    <t>Coluna  1</t>
  </si>
  <si>
    <t>Variável independente =</t>
  </si>
  <si>
    <t>Coluna  2</t>
  </si>
  <si>
    <t>Rio Grande do Sul</t>
  </si>
  <si>
    <t>Média (X) =</t>
  </si>
  <si>
    <t>3.5000</t>
  </si>
  <si>
    <t>Média (Y) =</t>
  </si>
  <si>
    <t>2.4417</t>
  </si>
  <si>
    <t>Coef. de Determinação (R2) =</t>
  </si>
  <si>
    <t>0.7507</t>
  </si>
  <si>
    <t>R2 (ajustado) =</t>
  </si>
  <si>
    <t>0.6883</t>
  </si>
  <si>
    <t>Coeficiente de Correlação =</t>
  </si>
  <si>
    <t>0.8664</t>
  </si>
  <si>
    <t>Intercepto (a) =</t>
  </si>
  <si>
    <t>t = 74.1834</t>
  </si>
  <si>
    <t>p &lt; 0.0001</t>
  </si>
  <si>
    <t>t = 88.6274</t>
  </si>
  <si>
    <t>t = 44.7334</t>
  </si>
  <si>
    <t>t = 49.7528</t>
  </si>
  <si>
    <t>t = 48.7778</t>
  </si>
  <si>
    <t>t = 38.8114</t>
  </si>
  <si>
    <t>2.3067</t>
  </si>
  <si>
    <t>t = 53.2894</t>
  </si>
  <si>
    <t>t = 70.7644</t>
  </si>
  <si>
    <t>t = 29.7385</t>
  </si>
  <si>
    <t>Santa Catarina</t>
  </si>
  <si>
    <t>Coef. de Regressão (b) =</t>
  </si>
  <si>
    <t>t = 5.9530</t>
  </si>
  <si>
    <t>p = 0.0040</t>
  </si>
  <si>
    <t>t = 7.4057</t>
  </si>
  <si>
    <t>p = 0.0018</t>
  </si>
  <si>
    <t>t = 3.5937</t>
  </si>
  <si>
    <t>p = 0.0229</t>
  </si>
  <si>
    <t>t = 4.0949</t>
  </si>
  <si>
    <t>p = 0.0149</t>
  </si>
  <si>
    <t>t = 3.5864</t>
  </si>
  <si>
    <t>p = 0.0230</t>
  </si>
  <si>
    <t>t = 3.9209</t>
  </si>
  <si>
    <t>p = 0.0172</t>
  </si>
  <si>
    <t>0.0386</t>
  </si>
  <si>
    <t>t = 3.4703</t>
  </si>
  <si>
    <t>p = 0.0255</t>
  </si>
  <si>
    <t>t = 4.7987</t>
  </si>
  <si>
    <t>p = 0.0086</t>
  </si>
  <si>
    <t>t = 1.8253</t>
  </si>
  <si>
    <t>p = 0.1419</t>
  </si>
  <si>
    <t>IC 95% (a)</t>
  </si>
  <si>
    <t>2.322 a 2.503</t>
  </si>
  <si>
    <t>2.515 a 2.678</t>
  </si>
  <si>
    <t>2.027 a 2.295</t>
  </si>
  <si>
    <t>2.566 a 2.869</t>
  </si>
  <si>
    <t>2.812 a 3.151</t>
  </si>
  <si>
    <t>2.158 a 2.490</t>
  </si>
  <si>
    <t>2.187 a 2.427</t>
  </si>
  <si>
    <t>2.444 a 2.643</t>
  </si>
  <si>
    <t>1.792 a 2.160</t>
  </si>
  <si>
    <t>IC 95% (b)</t>
  </si>
  <si>
    <t>0.027 a 0.073</t>
  </si>
  <si>
    <t>0.035 a 0.077</t>
  </si>
  <si>
    <t>0.010 a 0.079</t>
  </si>
  <si>
    <t>0.018 a 0.096</t>
  </si>
  <si>
    <t>0.013 a 0.100</t>
  </si>
  <si>
    <t>0.018 a 0.103</t>
  </si>
  <si>
    <t>0.008 a 0.069</t>
  </si>
  <si>
    <t>0.019 a 0.070</t>
  </si>
  <si>
    <t>-0.016 a 0.079</t>
  </si>
  <si>
    <t>Equação</t>
  </si>
  <si>
    <t>Y' = a + bX</t>
  </si>
  <si>
    <r>
      <t xml:space="preserve">Faixa Etária - </t>
    </r>
    <r>
      <rPr>
        <b/>
        <sz val="7"/>
        <color rgb="FFEE0000"/>
        <rFont val="Garamond"/>
        <family val="1"/>
      </rPr>
      <t>Feminina</t>
    </r>
  </si>
  <si>
    <t>60 - 69</t>
  </si>
  <si>
    <t>70 - 79</t>
  </si>
  <si>
    <t>80 ou mais</t>
  </si>
  <si>
    <r>
      <t xml:space="preserve">Regressão log-linear </t>
    </r>
    <r>
      <rPr>
        <b/>
        <sz val="8"/>
        <color rgb="FFFF0000"/>
        <rFont val="Garamond"/>
        <family val="1"/>
      </rPr>
      <t xml:space="preserve">60-69 Paraná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</si>
  <si>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70-79 Paraná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</si>
  <si>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80 - &gt; Paraná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</si>
  <si>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60-69 Rio G. do Sul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</si>
  <si>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70-79 Rio G. do Sul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</si>
  <si>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80 - &gt;  Rio G. do Sul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</si>
  <si>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60-69 Santa Catarina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</si>
  <si>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70-79 Santa Catarina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</si>
  <si>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80 - &gt; Santa Catarina </t>
    </r>
  </si>
  <si>
    <t>IC95% mínimo</t>
  </si>
  <si>
    <t>IC95%</t>
  </si>
  <si>
    <t>p = 0.7712</t>
  </si>
  <si>
    <t>p = 0.2733</t>
  </si>
  <si>
    <t>p = 0.0279</t>
  </si>
  <si>
    <t>p = 0.9364</t>
  </si>
  <si>
    <t>p = 0.5328</t>
  </si>
  <si>
    <t>p = 0.0870</t>
  </si>
  <si>
    <t>p = 0.5354</t>
  </si>
  <si>
    <t>p = 0.5395</t>
  </si>
  <si>
    <t>p = 0.2944</t>
  </si>
  <si>
    <t>t = 8.3020</t>
  </si>
  <si>
    <t>p = 0.0011</t>
  </si>
  <si>
    <t>t = 76.3089</t>
  </si>
  <si>
    <t>t = 172.9256</t>
  </si>
  <si>
    <t>t = 10.1298</t>
  </si>
  <si>
    <t>p = 0.0005</t>
  </si>
  <si>
    <t>t = 39.0724</t>
  </si>
  <si>
    <t>t = 117.1322</t>
  </si>
  <si>
    <t>t = 6.3611</t>
  </si>
  <si>
    <t>p = 0.0031</t>
  </si>
  <si>
    <t>t = 68.2668</t>
  </si>
  <si>
    <t>t = 106.0949</t>
  </si>
  <si>
    <t>t = -0.3036</t>
  </si>
  <si>
    <t>p = 0.7766</t>
  </si>
  <si>
    <t>t = -1.2689</t>
  </si>
  <si>
    <t>p = 0.2732</t>
  </si>
  <si>
    <t>t = 3.4024</t>
  </si>
  <si>
    <t>p = 0.0272</t>
  </si>
  <si>
    <t>t = 0.0824</t>
  </si>
  <si>
    <t>p = 0.9383</t>
  </si>
  <si>
    <t>t = 0.8096</t>
  </si>
  <si>
    <t>p = 0.4636</t>
  </si>
  <si>
    <t>t = 2.2528</t>
  </si>
  <si>
    <t>p = 0.0873</t>
  </si>
  <si>
    <t>t = 0.6831</t>
  </si>
  <si>
    <t>p = 0.5320</t>
  </si>
  <si>
    <t>t = -0.6758</t>
  </si>
  <si>
    <t>p = 0.5362</t>
  </si>
  <si>
    <t>t = 1.2064</t>
  </si>
  <si>
    <t>p = 0.2941</t>
  </si>
  <si>
    <t>1.175 a 2.355</t>
  </si>
  <si>
    <t>3.998 a 4.300</t>
  </si>
  <si>
    <t>6.177 a 6.378</t>
  </si>
  <si>
    <t>1.391 a 2.441</t>
  </si>
  <si>
    <t>3.891 a 4.486</t>
  </si>
  <si>
    <t>6.157 a 6.455</t>
  </si>
  <si>
    <t>0.829 a 2.113</t>
  </si>
  <si>
    <t>3.990 a 4.328</t>
  </si>
  <si>
    <t>6.099 a 6.427</t>
  </si>
  <si>
    <t>-0.168 a 0.135</t>
  </si>
  <si>
    <t>-0.056 a 0.021</t>
  </si>
  <si>
    <t>0.006 a 0.058</t>
  </si>
  <si>
    <t>-0.131 a 0.139</t>
  </si>
  <si>
    <t>-0.054 a 0.099</t>
  </si>
  <si>
    <t>-0.007 a 0.070</t>
  </si>
  <si>
    <t>-0.124 a 0.205</t>
  </si>
  <si>
    <t>-0.054 a 0.033</t>
  </si>
  <si>
    <t>-0.024 a 0.060</t>
  </si>
  <si>
    <r>
      <t xml:space="preserve">Faixa Etária </t>
    </r>
    <r>
      <rPr>
        <b/>
        <sz val="7"/>
        <color rgb="FFEE0000"/>
        <rFont val="Garamond"/>
        <family val="1"/>
      </rPr>
      <t>- Masculina</t>
    </r>
  </si>
  <si>
    <t>Mort. /100000 hab.</t>
  </si>
  <si>
    <t>Mor. /100000 hab.</t>
  </si>
  <si>
    <t>p = 0.8046</t>
  </si>
  <si>
    <t>p = 0.8042</t>
  </si>
  <si>
    <t>p = 0.1706</t>
  </si>
  <si>
    <t>p = 0.6082</t>
  </si>
  <si>
    <t>p = 0.9321</t>
  </si>
  <si>
    <t>p = 0.1671</t>
  </si>
  <si>
    <t>p = 0.2555</t>
  </si>
  <si>
    <t>p = 0.8713</t>
  </si>
  <si>
    <t>p = 0.7502</t>
  </si>
  <si>
    <t>t = 7.9002</t>
  </si>
  <si>
    <t>p = 0.0014</t>
  </si>
  <si>
    <t>t = 40.3350</t>
  </si>
  <si>
    <t>t = 139.6937</t>
  </si>
  <si>
    <t>t = 6.8209</t>
  </si>
  <si>
    <t>p = 0.0024</t>
  </si>
  <si>
    <t>t = 84.5019</t>
  </si>
  <si>
    <t>t = 102.0593</t>
  </si>
  <si>
    <t>t = 12.7024</t>
  </si>
  <si>
    <t>t = 33.1590</t>
  </si>
  <si>
    <t>t = 83.8751</t>
  </si>
  <si>
    <t>t = 0.2551</t>
  </si>
  <si>
    <t>p = 0.8112</t>
  </si>
  <si>
    <t>t = -0.2556</t>
  </si>
  <si>
    <t>p = 0.8109</t>
  </si>
  <si>
    <t>t = 1.6645</t>
  </si>
  <si>
    <t>p = 0.1713</t>
  </si>
  <si>
    <t>t = 0.9641</t>
  </si>
  <si>
    <t>p = 0.3895</t>
  </si>
  <si>
    <t>t = 0.0876</t>
  </si>
  <si>
    <t>p = 0.9344</t>
  </si>
  <si>
    <t>t = 1.6819</t>
  </si>
  <si>
    <t>p = 0.1678</t>
  </si>
  <si>
    <t>t = 1.3251</t>
  </si>
  <si>
    <t>p = 0.2557</t>
  </si>
  <si>
    <t>t = -0.1642</t>
  </si>
  <si>
    <t>p = 0.8775</t>
  </si>
  <si>
    <t>t = -0.3350</t>
  </si>
  <si>
    <t>p = 0.7544</t>
  </si>
  <si>
    <t>1.140 a 2.375</t>
  </si>
  <si>
    <t>3.924 a 4.504</t>
  </si>
  <si>
    <t>5.949 a 6.191</t>
  </si>
  <si>
    <t>1.069 a 2.536</t>
  </si>
  <si>
    <t>4.152 a 4.434</t>
  </si>
  <si>
    <t>5.911 a 6.242</t>
  </si>
  <si>
    <t>1.159 a 1.807</t>
  </si>
  <si>
    <t>3.706 a 4.383</t>
  </si>
  <si>
    <t>5.926 a 6.332</t>
  </si>
  <si>
    <t>-0.144 a 0.173</t>
  </si>
  <si>
    <t>-0.081 a 0.068</t>
  </si>
  <si>
    <t>-0.012 a 0.050</t>
  </si>
  <si>
    <t>-0.123 a 0.254</t>
  </si>
  <si>
    <t>-0.035 a 0.037</t>
  </si>
  <si>
    <t>-0.017 a 0.068</t>
  </si>
  <si>
    <t>-0.043 a 0.123</t>
  </si>
  <si>
    <t>-0.092 a 0.082</t>
  </si>
  <si>
    <t>-0.058 a 0.046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</si>
</sst>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"/>
    <numFmt numFmtId="166" formatCode="#,##0.0000"/>
    <numFmt numFmtId="167" formatCode="0.000"/>
  </numFmts>
  <fonts count="16" x14ac:knownFonts="1">
    <font>
      <sz val="11"/>
      <color theme="1"/>
      <name val="Aptos Narrow"/>
      <family val="2"/>
      <scheme val="minor"/>
    </font>
    <font>
      <b/>
      <sz val="7"/>
      <color rgb="FF000000"/>
      <name val="Garamond"/>
      <family val="1"/>
    </font>
    <font>
      <b/>
      <sz val="8"/>
      <color rgb="FF000000"/>
      <name val="Garamond"/>
      <family val="1"/>
    </font>
    <font>
      <b/>
      <sz val="8"/>
      <color rgb="FFFF0000"/>
      <name val="Garamond"/>
      <family val="1"/>
    </font>
    <font>
      <b/>
      <sz val="8"/>
      <color theme="1"/>
      <name val="Garamond"/>
      <family val="1"/>
    </font>
    <font>
      <b/>
      <sz val="7"/>
      <color theme="1"/>
      <name val="Garamond"/>
      <family val="1"/>
    </font>
    <font>
      <b/>
      <sz val="8"/>
      <color theme="1"/>
      <name val="Arial Nova"/>
      <family val="2"/>
    </font>
    <font>
      <sz val="9"/>
      <color rgb="FF000000"/>
      <name val="Arial Nova"/>
      <family val="2"/>
    </font>
    <font>
      <sz val="9"/>
      <color theme="1"/>
      <name val="Arial Nova"/>
      <family val="2"/>
    </font>
    <font>
      <b/>
      <sz val="9"/>
      <color rgb="FF000000"/>
      <name val="Garamond"/>
      <family val="1"/>
    </font>
    <font>
      <b/>
      <sz val="9"/>
      <color theme="1"/>
      <name val="Garamond"/>
      <family val="1"/>
    </font>
    <font>
      <b/>
      <sz val="11"/>
      <color theme="1"/>
      <name val="Garamond"/>
      <family val="1"/>
    </font>
    <font>
      <b/>
      <sz val="8"/>
      <color rgb="FF000000"/>
      <name val="Arial Nova"/>
      <family val="2"/>
    </font>
    <font>
      <b/>
      <sz val="9"/>
      <color rgb="FF000000"/>
      <name val="Arial Nova"/>
      <family val="2"/>
    </font>
    <font>
      <b/>
      <sz val="8.5"/>
      <color rgb="FF000000"/>
      <name val="Arial Nova"/>
      <family val="2"/>
    </font>
    <font>
      <b/>
      <sz val="7"/>
      <color rgb="FFEE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D1D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0" borderId="4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textRotation="90" wrapText="1"/>
    </xf>
    <xf numFmtId="0" fontId="1" fillId="3" borderId="10" xfId="0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2" fontId="5" fillId="3" borderId="10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2" fontId="6" fillId="4" borderId="11" xfId="0" applyNumberFormat="1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textRotation="90" wrapText="1"/>
    </xf>
    <xf numFmtId="0" fontId="5" fillId="3" borderId="12" xfId="0" applyFont="1" applyFill="1" applyBorder="1" applyAlignment="1">
      <alignment horizontal="center" vertical="center" wrapText="1"/>
    </xf>
    <xf numFmtId="2" fontId="5" fillId="3" borderId="12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 vertical="center" wrapText="1"/>
    </xf>
    <xf numFmtId="2" fontId="5" fillId="3" borderId="8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textRotation="90" wrapText="1"/>
    </xf>
    <xf numFmtId="0" fontId="1" fillId="5" borderId="10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textRotation="90" wrapText="1"/>
    </xf>
    <xf numFmtId="0" fontId="5" fillId="5" borderId="12" xfId="0" applyFont="1" applyFill="1" applyBorder="1" applyAlignment="1">
      <alignment horizontal="center" vertical="center" wrapText="1"/>
    </xf>
    <xf numFmtId="164" fontId="5" fillId="5" borderId="12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textRotation="90" wrapText="1"/>
    </xf>
    <xf numFmtId="0" fontId="5" fillId="5" borderId="8" xfId="0" applyFont="1" applyFill="1" applyBorder="1" applyAlignment="1">
      <alignment horizontal="center" vertical="center" wrapText="1"/>
    </xf>
    <xf numFmtId="164" fontId="5" fillId="5" borderId="8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4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2" fontId="7" fillId="0" borderId="0" xfId="0" applyNumberFormat="1" applyFont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7" fontId="5" fillId="3" borderId="5" xfId="0" applyNumberFormat="1" applyFont="1" applyFill="1" applyBorder="1" applyAlignment="1">
      <alignment horizontal="center" vertical="center" wrapText="1"/>
    </xf>
    <xf numFmtId="167" fontId="5" fillId="3" borderId="12" xfId="0" applyNumberFormat="1" applyFont="1" applyFill="1" applyBorder="1" applyAlignment="1">
      <alignment horizontal="center" vertical="center" wrapText="1"/>
    </xf>
    <xf numFmtId="167" fontId="5" fillId="3" borderId="8" xfId="0" applyNumberFormat="1" applyFont="1" applyFill="1" applyBorder="1" applyAlignment="1">
      <alignment horizontal="center" vertical="center" wrapText="1"/>
    </xf>
    <xf numFmtId="167" fontId="5" fillId="5" borderId="5" xfId="0" applyNumberFormat="1" applyFont="1" applyFill="1" applyBorder="1" applyAlignment="1">
      <alignment horizontal="center" vertical="center" wrapText="1"/>
    </xf>
    <xf numFmtId="167" fontId="5" fillId="5" borderId="12" xfId="0" applyNumberFormat="1" applyFont="1" applyFill="1" applyBorder="1" applyAlignment="1">
      <alignment horizontal="center" vertical="center" wrapText="1"/>
    </xf>
    <xf numFmtId="167" fontId="5" fillId="5" borderId="8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2" fontId="6" fillId="4" borderId="16" xfId="0" applyNumberFormat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2" fontId="6" fillId="4" borderId="18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2" fontId="6" fillId="4" borderId="2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628650</xdr:colOff>
      <xdr:row>19</xdr:row>
      <xdr:rowOff>38101</xdr:rowOff>
    </xdr:from>
    <xdr:to>
      <xdr:col>32</xdr:col>
      <xdr:colOff>76200</xdr:colOff>
      <xdr:row>32</xdr:row>
      <xdr:rowOff>135095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5676B7-7D82-4FA3-8D28-97920502C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54410" y="4183381"/>
          <a:ext cx="2884170" cy="2504914"/>
        </a:xfrm>
        <a:prstGeom prst="rect">
          <a:avLst/>
        </a:prstGeom>
      </xdr:spPr>
    </xdr:pic>
    <xdr:clientData/>
  </xdr:twoCellAnchor>
  <xdr:twoCellAnchor editAs="oneCell">
    <xdr:from>
      <xdr:col>33</xdr:col>
      <xdr:colOff>581025</xdr:colOff>
      <xdr:row>19</xdr:row>
      <xdr:rowOff>47625</xdr:rowOff>
    </xdr:from>
    <xdr:to>
      <xdr:col>36</xdr:col>
      <xdr:colOff>361950</xdr:colOff>
      <xdr:row>32</xdr:row>
      <xdr:rowOff>164673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B07955-86D6-4A8F-8303-26C10D1BC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53005" y="4192905"/>
          <a:ext cx="2981325" cy="2524968"/>
        </a:xfrm>
        <a:prstGeom prst="rect">
          <a:avLst/>
        </a:prstGeom>
      </xdr:spPr>
    </xdr:pic>
    <xdr:clientData/>
  </xdr:twoCellAnchor>
  <xdr:twoCellAnchor editAs="oneCell">
    <xdr:from>
      <xdr:col>37</xdr:col>
      <xdr:colOff>762000</xdr:colOff>
      <xdr:row>19</xdr:row>
      <xdr:rowOff>47625</xdr:rowOff>
    </xdr:from>
    <xdr:to>
      <xdr:col>40</xdr:col>
      <xdr:colOff>38100</xdr:colOff>
      <xdr:row>32</xdr:row>
      <xdr:rowOff>164673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A4E5029-CB8E-4FD3-B8B6-DD7D72FD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43980" y="4192905"/>
          <a:ext cx="2971800" cy="2524968"/>
        </a:xfrm>
        <a:prstGeom prst="rect">
          <a:avLst/>
        </a:prstGeom>
      </xdr:spPr>
    </xdr:pic>
    <xdr:clientData/>
  </xdr:twoCellAnchor>
  <xdr:twoCellAnchor editAs="oneCell">
    <xdr:from>
      <xdr:col>41</xdr:col>
      <xdr:colOff>571500</xdr:colOff>
      <xdr:row>19</xdr:row>
      <xdr:rowOff>38101</xdr:rowOff>
    </xdr:from>
    <xdr:to>
      <xdr:col>44</xdr:col>
      <xdr:colOff>266700</xdr:colOff>
      <xdr:row>32</xdr:row>
      <xdr:rowOff>74770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111B373-7ED0-4F7E-9CE3-BEF21740D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58780" y="4183381"/>
          <a:ext cx="2880360" cy="2444589"/>
        </a:xfrm>
        <a:prstGeom prst="rect">
          <a:avLst/>
        </a:prstGeom>
      </xdr:spPr>
    </xdr:pic>
    <xdr:clientData/>
  </xdr:twoCellAnchor>
  <xdr:twoCellAnchor editAs="oneCell">
    <xdr:from>
      <xdr:col>45</xdr:col>
      <xdr:colOff>466725</xdr:colOff>
      <xdr:row>19</xdr:row>
      <xdr:rowOff>28576</xdr:rowOff>
    </xdr:from>
    <xdr:to>
      <xdr:col>48</xdr:col>
      <xdr:colOff>495300</xdr:colOff>
      <xdr:row>32</xdr:row>
      <xdr:rowOff>81321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505A88F-EAD1-434F-B864-07E16551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648765" y="4173856"/>
          <a:ext cx="2893695" cy="2460665"/>
        </a:xfrm>
        <a:prstGeom prst="rect">
          <a:avLst/>
        </a:prstGeom>
      </xdr:spPr>
    </xdr:pic>
    <xdr:clientData/>
  </xdr:twoCellAnchor>
  <xdr:twoCellAnchor editAs="oneCell">
    <xdr:from>
      <xdr:col>49</xdr:col>
      <xdr:colOff>476250</xdr:colOff>
      <xdr:row>19</xdr:row>
      <xdr:rowOff>57151</xdr:rowOff>
    </xdr:from>
    <xdr:to>
      <xdr:col>52</xdr:col>
      <xdr:colOff>409575</xdr:colOff>
      <xdr:row>32</xdr:row>
      <xdr:rowOff>85782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D455712-4760-4C99-B570-DC4519059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32070" y="4202431"/>
          <a:ext cx="2874645" cy="2436551"/>
        </a:xfrm>
        <a:prstGeom prst="rect">
          <a:avLst/>
        </a:prstGeom>
      </xdr:spPr>
    </xdr:pic>
    <xdr:clientData/>
  </xdr:twoCellAnchor>
  <xdr:twoCellAnchor editAs="oneCell">
    <xdr:from>
      <xdr:col>53</xdr:col>
      <xdr:colOff>335280</xdr:colOff>
      <xdr:row>19</xdr:row>
      <xdr:rowOff>38101</xdr:rowOff>
    </xdr:from>
    <xdr:to>
      <xdr:col>56</xdr:col>
      <xdr:colOff>586740</xdr:colOff>
      <xdr:row>32</xdr:row>
      <xdr:rowOff>118713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9BAE1ED-D348-4874-BC3A-2EB4FF56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756320" y="4183381"/>
          <a:ext cx="2941320" cy="2488532"/>
        </a:xfrm>
        <a:prstGeom prst="rect">
          <a:avLst/>
        </a:prstGeom>
      </xdr:spPr>
    </xdr:pic>
    <xdr:clientData/>
  </xdr:twoCellAnchor>
  <xdr:twoCellAnchor editAs="oneCell">
    <xdr:from>
      <xdr:col>57</xdr:col>
      <xdr:colOff>381000</xdr:colOff>
      <xdr:row>19</xdr:row>
      <xdr:rowOff>38101</xdr:rowOff>
    </xdr:from>
    <xdr:to>
      <xdr:col>60</xdr:col>
      <xdr:colOff>411480</xdr:colOff>
      <xdr:row>32</xdr:row>
      <xdr:rowOff>105853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CA00A43-F082-4018-A988-2D3009A69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215800" y="4183381"/>
          <a:ext cx="2941320" cy="2475672"/>
        </a:xfrm>
        <a:prstGeom prst="rect">
          <a:avLst/>
        </a:prstGeom>
      </xdr:spPr>
    </xdr:pic>
    <xdr:clientData/>
  </xdr:twoCellAnchor>
  <xdr:twoCellAnchor editAs="oneCell">
    <xdr:from>
      <xdr:col>61</xdr:col>
      <xdr:colOff>449580</xdr:colOff>
      <xdr:row>19</xdr:row>
      <xdr:rowOff>60960</xdr:rowOff>
    </xdr:from>
    <xdr:to>
      <xdr:col>64</xdr:col>
      <xdr:colOff>403860</xdr:colOff>
      <xdr:row>32</xdr:row>
      <xdr:rowOff>77269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BEF8B1A-E7E8-40E2-B412-6C35A7B61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949600" y="4206240"/>
          <a:ext cx="2865120" cy="2424229"/>
        </a:xfrm>
        <a:prstGeom prst="rect">
          <a:avLst/>
        </a:prstGeom>
      </xdr:spPr>
    </xdr:pic>
    <xdr:clientData/>
  </xdr:twoCellAnchor>
  <xdr:twoCellAnchor editAs="oneCell">
    <xdr:from>
      <xdr:col>29</xdr:col>
      <xdr:colOff>441960</xdr:colOff>
      <xdr:row>56</xdr:row>
      <xdr:rowOff>45720</xdr:rowOff>
    </xdr:from>
    <xdr:to>
      <xdr:col>31</xdr:col>
      <xdr:colOff>678180</xdr:colOff>
      <xdr:row>67</xdr:row>
      <xdr:rowOff>105099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132B5287-36AF-4E6E-83FE-1B8FFD44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667720" y="11338560"/>
          <a:ext cx="2621280" cy="2208219"/>
        </a:xfrm>
        <a:prstGeom prst="rect">
          <a:avLst/>
        </a:prstGeom>
      </xdr:spPr>
    </xdr:pic>
    <xdr:clientData/>
  </xdr:twoCellAnchor>
  <xdr:twoCellAnchor editAs="oneCell">
    <xdr:from>
      <xdr:col>33</xdr:col>
      <xdr:colOff>640080</xdr:colOff>
      <xdr:row>56</xdr:row>
      <xdr:rowOff>38101</xdr:rowOff>
    </xdr:from>
    <xdr:to>
      <xdr:col>36</xdr:col>
      <xdr:colOff>198120</xdr:colOff>
      <xdr:row>68</xdr:row>
      <xdr:rowOff>25820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E6A21B5-91EE-4156-B22A-7D10C8F5A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12060" y="11330941"/>
          <a:ext cx="2758440" cy="2319439"/>
        </a:xfrm>
        <a:prstGeom prst="rect">
          <a:avLst/>
        </a:prstGeom>
      </xdr:spPr>
    </xdr:pic>
    <xdr:clientData/>
  </xdr:twoCellAnchor>
  <xdr:twoCellAnchor editAs="oneCell">
    <xdr:from>
      <xdr:col>37</xdr:col>
      <xdr:colOff>998220</xdr:colOff>
      <xdr:row>56</xdr:row>
      <xdr:rowOff>45720</xdr:rowOff>
    </xdr:from>
    <xdr:to>
      <xdr:col>40</xdr:col>
      <xdr:colOff>15240</xdr:colOff>
      <xdr:row>68</xdr:row>
      <xdr:rowOff>1288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3C6FA15-929C-4970-B202-BDAE880C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080200" y="11338560"/>
          <a:ext cx="2712720" cy="2287288"/>
        </a:xfrm>
        <a:prstGeom prst="rect">
          <a:avLst/>
        </a:prstGeom>
      </xdr:spPr>
    </xdr:pic>
    <xdr:clientData/>
  </xdr:twoCellAnchor>
  <xdr:twoCellAnchor editAs="oneCell">
    <xdr:from>
      <xdr:col>41</xdr:col>
      <xdr:colOff>586740</xdr:colOff>
      <xdr:row>56</xdr:row>
      <xdr:rowOff>38101</xdr:rowOff>
    </xdr:from>
    <xdr:to>
      <xdr:col>44</xdr:col>
      <xdr:colOff>144780</xdr:colOff>
      <xdr:row>68</xdr:row>
      <xdr:rowOff>19390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FCCE5DF-8F12-4B4F-AC5D-AD17AC81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974020" y="11330941"/>
          <a:ext cx="2743200" cy="2313009"/>
        </a:xfrm>
        <a:prstGeom prst="rect">
          <a:avLst/>
        </a:prstGeom>
      </xdr:spPr>
    </xdr:pic>
    <xdr:clientData/>
  </xdr:twoCellAnchor>
  <xdr:twoCellAnchor editAs="oneCell">
    <xdr:from>
      <xdr:col>45</xdr:col>
      <xdr:colOff>655320</xdr:colOff>
      <xdr:row>56</xdr:row>
      <xdr:rowOff>38100</xdr:rowOff>
    </xdr:from>
    <xdr:to>
      <xdr:col>48</xdr:col>
      <xdr:colOff>510540</xdr:colOff>
      <xdr:row>68</xdr:row>
      <xdr:rowOff>98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BFA76AF-374B-4998-BB6F-A09959D45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837360" y="11330940"/>
          <a:ext cx="2720340" cy="2293718"/>
        </a:xfrm>
        <a:prstGeom prst="rect">
          <a:avLst/>
        </a:prstGeom>
      </xdr:spPr>
    </xdr:pic>
    <xdr:clientData/>
  </xdr:twoCellAnchor>
  <xdr:twoCellAnchor editAs="oneCell">
    <xdr:from>
      <xdr:col>49</xdr:col>
      <xdr:colOff>640080</xdr:colOff>
      <xdr:row>56</xdr:row>
      <xdr:rowOff>30481</xdr:rowOff>
    </xdr:from>
    <xdr:to>
      <xdr:col>52</xdr:col>
      <xdr:colOff>441960</xdr:colOff>
      <xdr:row>68</xdr:row>
      <xdr:rowOff>5340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DA2CAC4-1412-479A-9F04-C550B4C63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395900" y="11323321"/>
          <a:ext cx="2743200" cy="2306579"/>
        </a:xfrm>
        <a:prstGeom prst="rect">
          <a:avLst/>
        </a:prstGeom>
      </xdr:spPr>
    </xdr:pic>
    <xdr:clientData/>
  </xdr:twoCellAnchor>
  <xdr:twoCellAnchor editAs="oneCell">
    <xdr:from>
      <xdr:col>53</xdr:col>
      <xdr:colOff>411480</xdr:colOff>
      <xdr:row>56</xdr:row>
      <xdr:rowOff>38101</xdr:rowOff>
    </xdr:from>
    <xdr:to>
      <xdr:col>56</xdr:col>
      <xdr:colOff>365760</xdr:colOff>
      <xdr:row>67</xdr:row>
      <xdr:rowOff>123201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F9EB779-9F6C-4378-A77B-01B4E3AA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832520" y="11330941"/>
          <a:ext cx="2644140" cy="2233940"/>
        </a:xfrm>
        <a:prstGeom prst="rect">
          <a:avLst/>
        </a:prstGeom>
      </xdr:spPr>
    </xdr:pic>
    <xdr:clientData/>
  </xdr:twoCellAnchor>
  <xdr:twoCellAnchor editAs="oneCell">
    <xdr:from>
      <xdr:col>57</xdr:col>
      <xdr:colOff>624840</xdr:colOff>
      <xdr:row>56</xdr:row>
      <xdr:rowOff>45721</xdr:rowOff>
    </xdr:from>
    <xdr:to>
      <xdr:col>60</xdr:col>
      <xdr:colOff>480060</xdr:colOff>
      <xdr:row>68</xdr:row>
      <xdr:rowOff>39870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BF38E99F-BB66-427E-A37C-46F4AB99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459640" y="11338561"/>
          <a:ext cx="2766060" cy="2325869"/>
        </a:xfrm>
        <a:prstGeom prst="rect">
          <a:avLst/>
        </a:prstGeom>
      </xdr:spPr>
    </xdr:pic>
    <xdr:clientData/>
  </xdr:twoCellAnchor>
  <xdr:twoCellAnchor editAs="oneCell">
    <xdr:from>
      <xdr:col>61</xdr:col>
      <xdr:colOff>592667</xdr:colOff>
      <xdr:row>56</xdr:row>
      <xdr:rowOff>33867</xdr:rowOff>
    </xdr:from>
    <xdr:to>
      <xdr:col>64</xdr:col>
      <xdr:colOff>457200</xdr:colOff>
      <xdr:row>68</xdr:row>
      <xdr:rowOff>17013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F5300E0D-A8A6-40FB-B91D-36ECC747A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092687" y="11326707"/>
          <a:ext cx="2775373" cy="2314866"/>
        </a:xfrm>
        <a:prstGeom prst="rect">
          <a:avLst/>
        </a:prstGeom>
      </xdr:spPr>
    </xdr:pic>
    <xdr:clientData/>
  </xdr:twoCellAnchor>
  <xdr:twoCellAnchor editAs="oneCell">
    <xdr:from>
      <xdr:col>29</xdr:col>
      <xdr:colOff>550333</xdr:colOff>
      <xdr:row>93</xdr:row>
      <xdr:rowOff>25400</xdr:rowOff>
    </xdr:from>
    <xdr:to>
      <xdr:col>32</xdr:col>
      <xdr:colOff>330200</xdr:colOff>
      <xdr:row>107</xdr:row>
      <xdr:rowOff>115756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F1E0513F-9094-4384-9D09-48242E28F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776093" y="18557240"/>
          <a:ext cx="3216487" cy="2681156"/>
        </a:xfrm>
        <a:prstGeom prst="rect">
          <a:avLst/>
        </a:prstGeom>
      </xdr:spPr>
    </xdr:pic>
    <xdr:clientData/>
  </xdr:twoCellAnchor>
  <xdr:twoCellAnchor editAs="oneCell">
    <xdr:from>
      <xdr:col>33</xdr:col>
      <xdr:colOff>254000</xdr:colOff>
      <xdr:row>93</xdr:row>
      <xdr:rowOff>8468</xdr:rowOff>
    </xdr:from>
    <xdr:to>
      <xdr:col>36</xdr:col>
      <xdr:colOff>252593</xdr:colOff>
      <xdr:row>107</xdr:row>
      <xdr:rowOff>76201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89C112EB-59F5-441E-98D2-124D7383B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525980" y="18540308"/>
          <a:ext cx="3198993" cy="2658533"/>
        </a:xfrm>
        <a:prstGeom prst="rect">
          <a:avLst/>
        </a:prstGeom>
      </xdr:spPr>
    </xdr:pic>
    <xdr:clientData/>
  </xdr:twoCellAnchor>
  <xdr:twoCellAnchor editAs="oneCell">
    <xdr:from>
      <xdr:col>37</xdr:col>
      <xdr:colOff>440267</xdr:colOff>
      <xdr:row>93</xdr:row>
      <xdr:rowOff>50800</xdr:rowOff>
    </xdr:from>
    <xdr:to>
      <xdr:col>40</xdr:col>
      <xdr:colOff>270934</xdr:colOff>
      <xdr:row>109</xdr:row>
      <xdr:rowOff>40125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538C18CB-5C13-4CF5-A194-41FBEA7CD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522247" y="18582640"/>
          <a:ext cx="3526367" cy="2945885"/>
        </a:xfrm>
        <a:prstGeom prst="rect">
          <a:avLst/>
        </a:prstGeom>
      </xdr:spPr>
    </xdr:pic>
    <xdr:clientData/>
  </xdr:twoCellAnchor>
  <xdr:twoCellAnchor editAs="oneCell">
    <xdr:from>
      <xdr:col>41</xdr:col>
      <xdr:colOff>228600</xdr:colOff>
      <xdr:row>93</xdr:row>
      <xdr:rowOff>33869</xdr:rowOff>
    </xdr:from>
    <xdr:to>
      <xdr:col>44</xdr:col>
      <xdr:colOff>406400</xdr:colOff>
      <xdr:row>108</xdr:row>
      <xdr:rowOff>59419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6BA1A15-F609-46E4-BADC-E6210C9CC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5615880" y="18565709"/>
          <a:ext cx="3362960" cy="2799230"/>
        </a:xfrm>
        <a:prstGeom prst="rect">
          <a:avLst/>
        </a:prstGeom>
      </xdr:spPr>
    </xdr:pic>
    <xdr:clientData/>
  </xdr:twoCellAnchor>
  <xdr:twoCellAnchor editAs="oneCell">
    <xdr:from>
      <xdr:col>45</xdr:col>
      <xdr:colOff>160866</xdr:colOff>
      <xdr:row>93</xdr:row>
      <xdr:rowOff>76201</xdr:rowOff>
    </xdr:from>
    <xdr:to>
      <xdr:col>48</xdr:col>
      <xdr:colOff>660399</xdr:colOff>
      <xdr:row>108</xdr:row>
      <xdr:rowOff>108895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68EA320B-5655-4A86-9E6F-3107C9241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9342906" y="18608041"/>
          <a:ext cx="3364653" cy="2806374"/>
        </a:xfrm>
        <a:prstGeom prst="rect">
          <a:avLst/>
        </a:prstGeom>
      </xdr:spPr>
    </xdr:pic>
    <xdr:clientData/>
  </xdr:twoCellAnchor>
  <xdr:twoCellAnchor editAs="oneCell">
    <xdr:from>
      <xdr:col>49</xdr:col>
      <xdr:colOff>254000</xdr:colOff>
      <xdr:row>93</xdr:row>
      <xdr:rowOff>84668</xdr:rowOff>
    </xdr:from>
    <xdr:to>
      <xdr:col>52</xdr:col>
      <xdr:colOff>660400</xdr:colOff>
      <xdr:row>108</xdr:row>
      <xdr:rowOff>95928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5B6F927E-D7EF-4748-BA0C-3409618D7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3009820" y="18616508"/>
          <a:ext cx="3347720" cy="2784940"/>
        </a:xfrm>
        <a:prstGeom prst="rect">
          <a:avLst/>
        </a:prstGeom>
      </xdr:spPr>
    </xdr:pic>
    <xdr:clientData/>
  </xdr:twoCellAnchor>
  <xdr:twoCellAnchor editAs="oneCell">
    <xdr:from>
      <xdr:col>53</xdr:col>
      <xdr:colOff>8466</xdr:colOff>
      <xdr:row>93</xdr:row>
      <xdr:rowOff>76201</xdr:rowOff>
    </xdr:from>
    <xdr:to>
      <xdr:col>56</xdr:col>
      <xdr:colOff>677155</xdr:colOff>
      <xdr:row>108</xdr:row>
      <xdr:rowOff>101601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DCF22615-F0B1-427B-9D8F-68EA84D4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6429506" y="18608041"/>
          <a:ext cx="3358549" cy="2799080"/>
        </a:xfrm>
        <a:prstGeom prst="rect">
          <a:avLst/>
        </a:prstGeom>
      </xdr:spPr>
    </xdr:pic>
    <xdr:clientData/>
  </xdr:twoCellAnchor>
  <xdr:twoCellAnchor editAs="oneCell">
    <xdr:from>
      <xdr:col>57</xdr:col>
      <xdr:colOff>296333</xdr:colOff>
      <xdr:row>93</xdr:row>
      <xdr:rowOff>50801</xdr:rowOff>
    </xdr:from>
    <xdr:to>
      <xdr:col>60</xdr:col>
      <xdr:colOff>728133</xdr:colOff>
      <xdr:row>108</xdr:row>
      <xdr:rowOff>54917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1AC436EA-DB60-4D66-8783-8E2B8EA4F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131133" y="18582641"/>
          <a:ext cx="3342640" cy="2777796"/>
        </a:xfrm>
        <a:prstGeom prst="rect">
          <a:avLst/>
        </a:prstGeom>
      </xdr:spPr>
    </xdr:pic>
    <xdr:clientData/>
  </xdr:twoCellAnchor>
  <xdr:twoCellAnchor editAs="oneCell">
    <xdr:from>
      <xdr:col>61</xdr:col>
      <xdr:colOff>101600</xdr:colOff>
      <xdr:row>93</xdr:row>
      <xdr:rowOff>33867</xdr:rowOff>
    </xdr:from>
    <xdr:to>
      <xdr:col>64</xdr:col>
      <xdr:colOff>668867</xdr:colOff>
      <xdr:row>108</xdr:row>
      <xdr:rowOff>166589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9B96C910-765E-41BF-BD53-2CD5DD626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601620" y="18565707"/>
          <a:ext cx="3478107" cy="290640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2C2D-B3F1-4179-B9DC-36963F68C500}">
  <dimension ref="A1:BM97"/>
  <sheetViews>
    <sheetView tabSelected="1" topLeftCell="A71" zoomScale="80" zoomScaleNormal="80" workbookViewId="0">
      <selection activeCell="J84" sqref="J84:J89"/>
    </sheetView>
  </sheetViews>
  <sheetFormatPr defaultRowHeight="14.4" x14ac:dyDescent="0.3"/>
  <cols>
    <col min="2" max="2" width="8.5546875" customWidth="1"/>
    <col min="3" max="3" width="14.44140625" customWidth="1"/>
    <col min="4" max="4" width="13.88671875" customWidth="1"/>
    <col min="5" max="7" width="15.109375" customWidth="1"/>
    <col min="10" max="10" width="12.109375" customWidth="1"/>
    <col min="12" max="12" width="14.109375" customWidth="1"/>
    <col min="14" max="14" width="9.88671875" customWidth="1"/>
    <col min="16" max="16" width="14.44140625" customWidth="1"/>
    <col min="17" max="18" width="14.6640625" customWidth="1"/>
    <col min="20" max="20" width="15" customWidth="1"/>
    <col min="22" max="22" width="15.44140625" customWidth="1"/>
    <col min="24" max="25" width="12.44140625" customWidth="1"/>
    <col min="28" max="28" width="14.5546875" customWidth="1"/>
    <col min="30" max="30" width="21.44140625" customWidth="1"/>
    <col min="31" max="31" width="13.33203125" customWidth="1"/>
    <col min="32" max="32" width="15.33203125" customWidth="1"/>
    <col min="34" max="34" width="20.33203125" customWidth="1"/>
    <col min="35" max="35" width="10.88671875" customWidth="1"/>
    <col min="36" max="36" width="15.44140625" customWidth="1"/>
    <col min="38" max="38" width="23.88671875" customWidth="1"/>
    <col min="39" max="40" width="15" customWidth="1"/>
    <col min="42" max="42" width="22.109375" customWidth="1"/>
    <col min="44" max="44" width="15.44140625" customWidth="1"/>
    <col min="46" max="46" width="19.44140625" customWidth="1"/>
    <col min="47" max="47" width="13.44140625" customWidth="1"/>
    <col min="49" max="49" width="10.33203125" customWidth="1"/>
    <col min="50" max="50" width="20.109375" customWidth="1"/>
    <col min="51" max="51" width="12.33203125" customWidth="1"/>
    <col min="52" max="52" width="10.44140625" customWidth="1"/>
    <col min="53" max="53" width="10.5546875" customWidth="1"/>
    <col min="54" max="54" width="18.6640625" customWidth="1"/>
    <col min="55" max="55" width="10.88671875" customWidth="1"/>
    <col min="56" max="56" width="9.6640625" customWidth="1"/>
    <col min="57" max="57" width="10.5546875" customWidth="1"/>
    <col min="58" max="58" width="19.33203125" customWidth="1"/>
    <col min="59" max="59" width="11" customWidth="1"/>
    <col min="60" max="60" width="12.109375" customWidth="1"/>
    <col min="61" max="61" width="11" customWidth="1"/>
    <col min="62" max="62" width="18.6640625" customWidth="1"/>
    <col min="63" max="63" width="12.6640625" customWidth="1"/>
    <col min="64" max="64" width="11.109375" customWidth="1"/>
    <col min="65" max="65" width="11" customWidth="1"/>
  </cols>
  <sheetData>
    <row r="1" spans="1:65" ht="15" thickBot="1" x14ac:dyDescent="0.35">
      <c r="A1" s="1" t="s">
        <v>0</v>
      </c>
      <c r="B1" s="2"/>
      <c r="C1" s="1" t="s">
        <v>1</v>
      </c>
      <c r="D1" s="3"/>
      <c r="E1" s="3"/>
      <c r="F1" s="3"/>
      <c r="G1" s="3"/>
      <c r="H1" s="3"/>
      <c r="I1" s="3"/>
      <c r="J1" s="3"/>
      <c r="K1" s="2"/>
      <c r="L1" s="1" t="s">
        <v>2</v>
      </c>
      <c r="M1" s="3"/>
      <c r="N1" s="3"/>
      <c r="O1" s="3"/>
      <c r="P1" s="3"/>
      <c r="Q1" s="3"/>
      <c r="R1" s="3"/>
      <c r="S1" s="3"/>
      <c r="T1" s="2"/>
      <c r="U1" s="1" t="s">
        <v>3</v>
      </c>
      <c r="V1" s="3"/>
      <c r="W1" s="3"/>
      <c r="X1" s="3"/>
      <c r="Y1" s="3"/>
      <c r="Z1" s="3"/>
      <c r="AA1" s="3"/>
      <c r="AB1" s="3"/>
      <c r="AC1" s="3"/>
      <c r="AD1" s="4" t="s">
        <v>4</v>
      </c>
      <c r="AE1" s="4"/>
      <c r="AF1" s="4"/>
      <c r="AG1" s="4"/>
      <c r="AH1" s="4" t="s">
        <v>5</v>
      </c>
      <c r="AI1" s="4"/>
      <c r="AJ1" s="4"/>
      <c r="AK1" s="4"/>
      <c r="AL1" s="4" t="s">
        <v>6</v>
      </c>
      <c r="AM1" s="4"/>
      <c r="AN1" s="4"/>
      <c r="AO1" s="4"/>
      <c r="AP1" s="4" t="s">
        <v>7</v>
      </c>
      <c r="AQ1" s="4"/>
      <c r="AR1" s="4"/>
      <c r="AS1" s="4"/>
      <c r="AT1" s="4" t="s">
        <v>8</v>
      </c>
      <c r="AU1" s="4"/>
      <c r="AV1" s="4"/>
      <c r="AW1" s="4"/>
      <c r="AX1" s="4" t="s">
        <v>9</v>
      </c>
      <c r="AY1" s="4"/>
      <c r="AZ1" s="4"/>
      <c r="BA1" s="4"/>
      <c r="BB1" s="4" t="s">
        <v>10</v>
      </c>
      <c r="BC1" s="4"/>
      <c r="BD1" s="4"/>
      <c r="BE1" s="4"/>
      <c r="BF1" s="4" t="s">
        <v>11</v>
      </c>
      <c r="BG1" s="4"/>
      <c r="BH1" s="4"/>
      <c r="BI1" s="4"/>
      <c r="BJ1" s="4" t="s">
        <v>12</v>
      </c>
      <c r="BK1" s="4"/>
      <c r="BL1" s="4"/>
      <c r="BM1" s="4"/>
    </row>
    <row r="2" spans="1:65" ht="14.4" customHeight="1" x14ac:dyDescent="0.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15</v>
      </c>
      <c r="V2" s="5" t="s">
        <v>16</v>
      </c>
      <c r="W2" s="5" t="s">
        <v>17</v>
      </c>
      <c r="X2" s="5" t="s">
        <v>18</v>
      </c>
      <c r="Y2" s="5" t="s">
        <v>19</v>
      </c>
      <c r="Z2" s="5" t="s">
        <v>20</v>
      </c>
      <c r="AA2" s="5" t="s">
        <v>21</v>
      </c>
      <c r="AB2" s="5" t="s">
        <v>22</v>
      </c>
      <c r="AC2" s="6" t="s">
        <v>23</v>
      </c>
      <c r="AD2" s="7" t="s">
        <v>25</v>
      </c>
      <c r="AE2" s="7" t="s">
        <v>26</v>
      </c>
      <c r="AF2" s="7" t="s">
        <v>27</v>
      </c>
      <c r="AG2" s="7" t="s">
        <v>28</v>
      </c>
      <c r="AH2" s="7" t="s">
        <v>25</v>
      </c>
      <c r="AI2" s="7" t="s">
        <v>26</v>
      </c>
      <c r="AJ2" s="7" t="s">
        <v>27</v>
      </c>
      <c r="AK2" s="7" t="s">
        <v>28</v>
      </c>
      <c r="AL2" s="7" t="s">
        <v>25</v>
      </c>
      <c r="AM2" s="7" t="s">
        <v>26</v>
      </c>
      <c r="AN2" s="7" t="s">
        <v>27</v>
      </c>
      <c r="AO2" s="8" t="s">
        <v>28</v>
      </c>
      <c r="AP2" s="7" t="s">
        <v>25</v>
      </c>
      <c r="AQ2" s="7" t="s">
        <v>26</v>
      </c>
      <c r="AR2" s="7" t="s">
        <v>27</v>
      </c>
      <c r="AS2" s="7" t="s">
        <v>28</v>
      </c>
      <c r="AT2" s="9" t="s">
        <v>25</v>
      </c>
      <c r="AU2" s="9" t="s">
        <v>26</v>
      </c>
      <c r="AV2" s="9" t="s">
        <v>27</v>
      </c>
      <c r="AW2" s="9" t="s">
        <v>28</v>
      </c>
      <c r="AX2" s="9" t="s">
        <v>25</v>
      </c>
      <c r="AY2" s="9" t="s">
        <v>26</v>
      </c>
      <c r="AZ2" s="9" t="s">
        <v>27</v>
      </c>
      <c r="BA2" s="9" t="s">
        <v>28</v>
      </c>
      <c r="BB2" s="9" t="s">
        <v>25</v>
      </c>
      <c r="BC2" s="9" t="s">
        <v>26</v>
      </c>
      <c r="BD2" s="9" t="s">
        <v>27</v>
      </c>
      <c r="BE2" s="9" t="s">
        <v>28</v>
      </c>
      <c r="BF2" s="9" t="s">
        <v>25</v>
      </c>
      <c r="BG2" s="9" t="s">
        <v>26</v>
      </c>
      <c r="BH2" s="9" t="s">
        <v>27</v>
      </c>
      <c r="BI2" s="9" t="s">
        <v>28</v>
      </c>
      <c r="BJ2" s="9" t="s">
        <v>25</v>
      </c>
      <c r="BK2" s="9" t="s">
        <v>26</v>
      </c>
      <c r="BL2" s="9" t="s">
        <v>27</v>
      </c>
      <c r="BM2" s="9" t="s">
        <v>28</v>
      </c>
    </row>
    <row r="3" spans="1:65" ht="14.4" customHeight="1" thickBo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 t="s">
        <v>29</v>
      </c>
      <c r="AE3" s="12">
        <v>1</v>
      </c>
      <c r="AF3" s="12">
        <v>4.3299999999999998E-2</v>
      </c>
      <c r="AG3" s="12">
        <v>4.3299999999999998E-2</v>
      </c>
      <c r="AH3" s="12" t="s">
        <v>29</v>
      </c>
      <c r="AI3" s="12">
        <v>1</v>
      </c>
      <c r="AJ3" s="12">
        <v>5.4300000000000001E-2</v>
      </c>
      <c r="AK3" s="12">
        <v>5.4300000000000001E-2</v>
      </c>
      <c r="AL3" s="12" t="s">
        <v>29</v>
      </c>
      <c r="AM3" s="12">
        <v>1</v>
      </c>
      <c r="AN3" s="12">
        <v>3.4799999999999998E-2</v>
      </c>
      <c r="AO3" s="13">
        <v>3.4799999999999998E-2</v>
      </c>
      <c r="AP3" s="12" t="s">
        <v>29</v>
      </c>
      <c r="AQ3" s="12">
        <v>1</v>
      </c>
      <c r="AR3" s="12">
        <v>5.7700000000000001E-2</v>
      </c>
      <c r="AS3" s="12">
        <v>5.7700000000000001E-2</v>
      </c>
      <c r="AT3" s="9" t="s">
        <v>29</v>
      </c>
      <c r="AU3" s="9">
        <v>1</v>
      </c>
      <c r="AV3" s="9">
        <v>5.5399999999999998E-2</v>
      </c>
      <c r="AW3" s="9">
        <v>5.5399999999999998E-2</v>
      </c>
      <c r="AX3" s="9" t="s">
        <v>29</v>
      </c>
      <c r="AY3" s="9">
        <v>1</v>
      </c>
      <c r="AZ3" s="9">
        <v>6.3600000000000004E-2</v>
      </c>
      <c r="BA3" s="9">
        <v>6.3600000000000004E-2</v>
      </c>
      <c r="BB3" s="9" t="s">
        <v>29</v>
      </c>
      <c r="BC3" s="9">
        <v>1</v>
      </c>
      <c r="BD3" s="9" t="s">
        <v>30</v>
      </c>
      <c r="BE3" s="9" t="s">
        <v>30</v>
      </c>
      <c r="BF3" s="9" t="s">
        <v>29</v>
      </c>
      <c r="BG3" s="9">
        <v>1</v>
      </c>
      <c r="BH3" s="9">
        <v>3.4299999999999997E-2</v>
      </c>
      <c r="BI3" s="9">
        <v>3.4299999999999997E-2</v>
      </c>
      <c r="BJ3" s="9" t="s">
        <v>29</v>
      </c>
      <c r="BK3" s="9">
        <v>1</v>
      </c>
      <c r="BL3" s="9">
        <v>1.7000000000000001E-2</v>
      </c>
      <c r="BM3" s="9">
        <v>1.7000000000000001E-2</v>
      </c>
    </row>
    <row r="4" spans="1:65" ht="15" customHeight="1" thickTop="1" thickBot="1" x14ac:dyDescent="0.35">
      <c r="A4" s="14" t="s">
        <v>31</v>
      </c>
      <c r="B4" s="15">
        <v>2016</v>
      </c>
      <c r="C4" s="15">
        <v>11195664</v>
      </c>
      <c r="D4" s="15">
        <v>1266</v>
      </c>
      <c r="E4" s="16">
        <f>(D4/C4)*100000</f>
        <v>11.307949220341019</v>
      </c>
      <c r="F4" s="17">
        <f>LN(E4)</f>
        <v>2.4255059492253133</v>
      </c>
      <c r="G4" s="18">
        <v>4.9700000000000001E-2</v>
      </c>
      <c r="H4" s="19">
        <f>(EXP(G4)-1)*100</f>
        <v>5.0955762349580214</v>
      </c>
      <c r="I4" s="20">
        <f>(EXP(0.027) - 1) * 100</f>
        <v>2.7367802763489379</v>
      </c>
      <c r="J4" s="20">
        <f>(EXP(0.073) - 1) * 100</f>
        <v>7.5730536914703439</v>
      </c>
      <c r="K4" s="18">
        <v>4.0000000000000001E-3</v>
      </c>
      <c r="L4" s="15">
        <v>5702897</v>
      </c>
      <c r="M4" s="15">
        <v>787</v>
      </c>
      <c r="N4" s="16">
        <f>(M4/L4)*100000</f>
        <v>13.800003752478785</v>
      </c>
      <c r="O4" s="17">
        <f>LN(N4)</f>
        <v>2.6246688640818747</v>
      </c>
      <c r="P4" s="18">
        <v>5.57E-2</v>
      </c>
      <c r="Q4" s="19">
        <f>(EXP(P4)-1)*100</f>
        <v>5.7280452018627193</v>
      </c>
      <c r="R4" s="20">
        <f>(EXP(0.035) - 1) * 100</f>
        <v>3.5619708799623284</v>
      </c>
      <c r="S4" s="20">
        <f>(EXP(0.077) - 1) * 100</f>
        <v>8.0042076392600414</v>
      </c>
      <c r="T4" s="18">
        <v>1.8E-3</v>
      </c>
      <c r="U4" s="15">
        <v>5492767</v>
      </c>
      <c r="V4" s="15">
        <v>479</v>
      </c>
      <c r="W4" s="16">
        <f>(V4/U4)*100000</f>
        <v>8.7205592372660252</v>
      </c>
      <c r="X4" s="17">
        <f>LN(W4)</f>
        <v>2.1656833685784673</v>
      </c>
      <c r="Y4" s="18">
        <v>4.4600000000000001E-2</v>
      </c>
      <c r="Z4" s="19">
        <f>(EXP(Y4)-1)*100</f>
        <v>4.5609532435825662</v>
      </c>
      <c r="AA4" s="20">
        <f>(EXP(0.01) - 1) * 100</f>
        <v>1.0050167084167949</v>
      </c>
      <c r="AB4" s="20">
        <f>(EXP(0.079) - 1) * 100</f>
        <v>8.2204322070314806</v>
      </c>
      <c r="AC4" s="21">
        <v>2.29E-2</v>
      </c>
      <c r="AD4" s="22" t="s">
        <v>32</v>
      </c>
      <c r="AE4" s="12">
        <v>4</v>
      </c>
      <c r="AF4" s="23">
        <v>4.8999999999999998E-3</v>
      </c>
      <c r="AG4" s="24">
        <v>1.1999999999999999E-3</v>
      </c>
      <c r="AH4" s="22" t="s">
        <v>32</v>
      </c>
      <c r="AI4" s="12">
        <v>4</v>
      </c>
      <c r="AJ4" s="23">
        <v>4.0000000000000001E-3</v>
      </c>
      <c r="AK4" s="24">
        <v>1E-3</v>
      </c>
      <c r="AL4" s="22" t="s">
        <v>32</v>
      </c>
      <c r="AM4" s="12">
        <v>4</v>
      </c>
      <c r="AN4" s="23">
        <v>1.0800000000000001E-2</v>
      </c>
      <c r="AO4" s="25">
        <v>2.7000000000000001E-3</v>
      </c>
      <c r="AP4" s="22" t="s">
        <v>32</v>
      </c>
      <c r="AQ4" s="12">
        <v>4</v>
      </c>
      <c r="AR4" s="23">
        <v>1.38E-2</v>
      </c>
      <c r="AS4" s="24">
        <v>3.3999999999999998E-3</v>
      </c>
      <c r="AT4" s="9" t="s">
        <v>32</v>
      </c>
      <c r="AU4" s="9">
        <v>4</v>
      </c>
      <c r="AV4" s="9">
        <v>1.72E-2</v>
      </c>
      <c r="AW4" s="9">
        <v>4.3E-3</v>
      </c>
      <c r="AX4" s="9" t="s">
        <v>32</v>
      </c>
      <c r="AY4" s="9">
        <v>4</v>
      </c>
      <c r="AZ4" s="9">
        <v>1.6500000000000001E-2</v>
      </c>
      <c r="BA4" s="9">
        <v>4.1000000000000003E-3</v>
      </c>
      <c r="BB4" s="9" t="s">
        <v>32</v>
      </c>
      <c r="BC4" s="9">
        <v>4</v>
      </c>
      <c r="BD4" s="9" t="s">
        <v>33</v>
      </c>
      <c r="BE4" s="9" t="s">
        <v>34</v>
      </c>
      <c r="BF4" s="9" t="s">
        <v>32</v>
      </c>
      <c r="BG4" s="9">
        <v>4</v>
      </c>
      <c r="BH4" s="9">
        <v>6.0000000000000001E-3</v>
      </c>
      <c r="BI4" s="9">
        <v>1.5E-3</v>
      </c>
      <c r="BJ4" s="9" t="s">
        <v>32</v>
      </c>
      <c r="BK4" s="9">
        <v>4</v>
      </c>
      <c r="BL4" s="9">
        <v>2.0400000000000001E-2</v>
      </c>
      <c r="BM4" s="9">
        <v>5.1000000000000004E-3</v>
      </c>
    </row>
    <row r="5" spans="1:65" ht="15.6" thickTop="1" thickBot="1" x14ac:dyDescent="0.35">
      <c r="A5" s="26"/>
      <c r="B5" s="15">
        <v>2017</v>
      </c>
      <c r="C5" s="15">
        <v>11285193</v>
      </c>
      <c r="D5" s="15">
        <v>1411</v>
      </c>
      <c r="E5" s="16">
        <f t="shared" ref="E5:E21" si="0">(D5/C5)*100000</f>
        <v>12.503109162599168</v>
      </c>
      <c r="F5" s="17">
        <f t="shared" ref="F5:F21" si="1">LN(E5)</f>
        <v>2.525977346387263</v>
      </c>
      <c r="G5" s="27"/>
      <c r="H5" s="19"/>
      <c r="I5" s="28"/>
      <c r="J5" s="28"/>
      <c r="K5" s="27"/>
      <c r="L5" s="15">
        <v>5750394</v>
      </c>
      <c r="M5" s="15">
        <v>881</v>
      </c>
      <c r="N5" s="16">
        <f t="shared" ref="N5:N21" si="2">(M5/L5)*100000</f>
        <v>15.320689330157203</v>
      </c>
      <c r="O5" s="17">
        <f t="shared" ref="O5:O21" si="3">LN(N5)</f>
        <v>2.7292041587412514</v>
      </c>
      <c r="P5" s="27"/>
      <c r="Q5" s="19"/>
      <c r="R5" s="28"/>
      <c r="S5" s="28"/>
      <c r="T5" s="27"/>
      <c r="U5" s="15">
        <v>5534799</v>
      </c>
      <c r="V5" s="15">
        <v>530</v>
      </c>
      <c r="W5" s="16">
        <f t="shared" ref="W5:W21" si="4">(V5/U5)*100000</f>
        <v>9.5757768258612455</v>
      </c>
      <c r="X5" s="17">
        <f t="shared" ref="X5:X21" si="5">LN(W5)</f>
        <v>2.2592366624140476</v>
      </c>
      <c r="Y5" s="27"/>
      <c r="Z5" s="19"/>
      <c r="AA5" s="28"/>
      <c r="AB5" s="28"/>
      <c r="AC5" s="29"/>
      <c r="AD5" s="22" t="s">
        <v>35</v>
      </c>
      <c r="AE5" s="12">
        <v>5</v>
      </c>
      <c r="AF5" s="23">
        <v>4.8099999999999997E-2</v>
      </c>
      <c r="AG5" s="24" t="s">
        <v>36</v>
      </c>
      <c r="AH5" s="22" t="s">
        <v>35</v>
      </c>
      <c r="AI5" s="12">
        <v>5</v>
      </c>
      <c r="AJ5" s="23">
        <v>5.8299999999999998E-2</v>
      </c>
      <c r="AK5" s="24" t="s">
        <v>36</v>
      </c>
      <c r="AL5" s="22" t="s">
        <v>35</v>
      </c>
      <c r="AM5" s="12">
        <v>5</v>
      </c>
      <c r="AN5" s="23">
        <v>4.5499999999999999E-2</v>
      </c>
      <c r="AO5" s="25" t="s">
        <v>36</v>
      </c>
      <c r="AP5" s="22" t="s">
        <v>35</v>
      </c>
      <c r="AQ5" s="12">
        <v>5</v>
      </c>
      <c r="AR5" s="23">
        <v>7.1499999999999994E-2</v>
      </c>
      <c r="AS5" s="24" t="s">
        <v>36</v>
      </c>
      <c r="AT5" s="9" t="s">
        <v>35</v>
      </c>
      <c r="AU5" s="9">
        <v>5</v>
      </c>
      <c r="AV5" s="9">
        <v>7.2700000000000001E-2</v>
      </c>
      <c r="AW5" s="9" t="s">
        <v>36</v>
      </c>
      <c r="AX5" s="9" t="s">
        <v>35</v>
      </c>
      <c r="AY5" s="9">
        <v>5</v>
      </c>
      <c r="AZ5" s="9">
        <v>8.0100000000000005E-2</v>
      </c>
      <c r="BA5" s="9" t="s">
        <v>36</v>
      </c>
      <c r="BB5" s="9" t="s">
        <v>35</v>
      </c>
      <c r="BC5" s="9">
        <v>5</v>
      </c>
      <c r="BD5" s="9" t="s">
        <v>37</v>
      </c>
      <c r="BE5" s="9" t="s">
        <v>36</v>
      </c>
      <c r="BF5" s="9" t="s">
        <v>35</v>
      </c>
      <c r="BG5" s="9">
        <v>5</v>
      </c>
      <c r="BH5" s="9">
        <v>4.0300000000000002E-2</v>
      </c>
      <c r="BI5" s="9" t="s">
        <v>36</v>
      </c>
      <c r="BJ5" s="9" t="s">
        <v>35</v>
      </c>
      <c r="BK5" s="9">
        <v>5</v>
      </c>
      <c r="BL5" s="9">
        <v>3.7400000000000003E-2</v>
      </c>
      <c r="BM5" s="9" t="s">
        <v>36</v>
      </c>
    </row>
    <row r="6" spans="1:65" ht="15.6" thickTop="1" thickBot="1" x14ac:dyDescent="0.35">
      <c r="A6" s="26"/>
      <c r="B6" s="15">
        <v>2018</v>
      </c>
      <c r="C6" s="15">
        <v>11373980</v>
      </c>
      <c r="D6" s="15">
        <v>1494</v>
      </c>
      <c r="E6" s="16">
        <f t="shared" si="0"/>
        <v>13.135243775705602</v>
      </c>
      <c r="F6" s="17">
        <f t="shared" si="1"/>
        <v>2.5752989822119976</v>
      </c>
      <c r="G6" s="27"/>
      <c r="H6" s="19"/>
      <c r="I6" s="28"/>
      <c r="J6" s="28"/>
      <c r="K6" s="27"/>
      <c r="L6" s="15">
        <v>5797536</v>
      </c>
      <c r="M6" s="15">
        <v>922</v>
      </c>
      <c r="N6" s="16">
        <f t="shared" si="2"/>
        <v>15.903307888040713</v>
      </c>
      <c r="O6" s="17">
        <f t="shared" si="3"/>
        <v>2.7665271308611858</v>
      </c>
      <c r="P6" s="27"/>
      <c r="Q6" s="19"/>
      <c r="R6" s="28"/>
      <c r="S6" s="28"/>
      <c r="T6" s="27"/>
      <c r="U6" s="15">
        <v>5576444</v>
      </c>
      <c r="V6" s="15">
        <v>572</v>
      </c>
      <c r="W6" s="16">
        <f t="shared" si="4"/>
        <v>10.25743287299218</v>
      </c>
      <c r="X6" s="17">
        <f t="shared" si="5"/>
        <v>2.3280026011248482</v>
      </c>
      <c r="Y6" s="27"/>
      <c r="Z6" s="19"/>
      <c r="AA6" s="28"/>
      <c r="AB6" s="28"/>
      <c r="AC6" s="29"/>
      <c r="AD6" s="22"/>
      <c r="AE6" s="12"/>
      <c r="AF6" s="23"/>
      <c r="AG6" s="24"/>
      <c r="AH6" s="22"/>
      <c r="AI6" s="12"/>
      <c r="AJ6" s="23"/>
      <c r="AK6" s="24"/>
      <c r="AL6" s="22"/>
      <c r="AM6" s="12"/>
      <c r="AN6" s="23"/>
      <c r="AO6" s="25"/>
      <c r="AP6" s="22"/>
      <c r="AQ6" s="12"/>
      <c r="AR6" s="23"/>
      <c r="AS6" s="24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5.6" thickTop="1" thickBot="1" x14ac:dyDescent="0.35">
      <c r="A7" s="26"/>
      <c r="B7" s="15">
        <v>2019</v>
      </c>
      <c r="C7" s="15">
        <v>11468227</v>
      </c>
      <c r="D7" s="15">
        <v>1630</v>
      </c>
      <c r="E7" s="16">
        <f t="shared" si="0"/>
        <v>14.213182212036786</v>
      </c>
      <c r="F7" s="17">
        <f t="shared" si="1"/>
        <v>2.6541698587715663</v>
      </c>
      <c r="G7" s="27"/>
      <c r="H7" s="19"/>
      <c r="I7" s="28"/>
      <c r="J7" s="28"/>
      <c r="K7" s="27"/>
      <c r="L7" s="15">
        <v>5847433</v>
      </c>
      <c r="M7" s="15">
        <v>1018</v>
      </c>
      <c r="N7" s="16">
        <f t="shared" si="2"/>
        <v>17.409348683430832</v>
      </c>
      <c r="O7" s="17">
        <f t="shared" si="3"/>
        <v>2.8570073425938536</v>
      </c>
      <c r="P7" s="27"/>
      <c r="Q7" s="19"/>
      <c r="R7" s="28"/>
      <c r="S7" s="28"/>
      <c r="T7" s="27"/>
      <c r="U7" s="15">
        <v>5620794</v>
      </c>
      <c r="V7" s="15">
        <v>612</v>
      </c>
      <c r="W7" s="16">
        <f t="shared" si="4"/>
        <v>10.888141426282479</v>
      </c>
      <c r="X7" s="17">
        <f t="shared" si="5"/>
        <v>2.3876742544531306</v>
      </c>
      <c r="Y7" s="27"/>
      <c r="Z7" s="19"/>
      <c r="AA7" s="28"/>
      <c r="AB7" s="28"/>
      <c r="AC7" s="29"/>
      <c r="AD7" s="22" t="s">
        <v>38</v>
      </c>
      <c r="AE7" s="12">
        <v>35.438200000000002</v>
      </c>
      <c r="AF7" s="23" t="s">
        <v>39</v>
      </c>
      <c r="AG7" s="24"/>
      <c r="AH7" s="22" t="s">
        <v>38</v>
      </c>
      <c r="AI7" s="12">
        <v>54.843699999999998</v>
      </c>
      <c r="AJ7" s="23" t="s">
        <v>40</v>
      </c>
      <c r="AK7" s="24"/>
      <c r="AL7" s="22" t="s">
        <v>38</v>
      </c>
      <c r="AM7" s="12">
        <v>12.914899999999999</v>
      </c>
      <c r="AN7" s="23" t="s">
        <v>41</v>
      </c>
      <c r="AO7" s="25"/>
      <c r="AP7" s="22" t="s">
        <v>38</v>
      </c>
      <c r="AQ7" s="12">
        <v>16.7685</v>
      </c>
      <c r="AR7" s="23" t="s">
        <v>42</v>
      </c>
      <c r="AS7" s="24"/>
      <c r="AT7" s="9" t="s">
        <v>38</v>
      </c>
      <c r="AU7" s="9">
        <v>12.862</v>
      </c>
      <c r="AV7" s="9" t="s">
        <v>43</v>
      </c>
      <c r="AW7" s="9"/>
      <c r="AX7" s="9" t="s">
        <v>38</v>
      </c>
      <c r="AY7" s="9">
        <v>15.3733</v>
      </c>
      <c r="AZ7" s="9" t="s">
        <v>44</v>
      </c>
      <c r="BA7" s="9"/>
      <c r="BB7" s="9" t="s">
        <v>38</v>
      </c>
      <c r="BC7" s="9" t="s">
        <v>45</v>
      </c>
      <c r="BD7" s="9" t="s">
        <v>46</v>
      </c>
      <c r="BE7" s="9"/>
      <c r="BF7" s="9" t="s">
        <v>38</v>
      </c>
      <c r="BG7" s="9">
        <v>23.027200000000001</v>
      </c>
      <c r="BH7" s="9" t="s">
        <v>47</v>
      </c>
      <c r="BI7" s="9"/>
      <c r="BJ7" s="9" t="s">
        <v>38</v>
      </c>
      <c r="BK7" s="9">
        <v>3.3317000000000001</v>
      </c>
      <c r="BL7" s="9" t="s">
        <v>48</v>
      </c>
      <c r="BM7" s="9"/>
    </row>
    <row r="8" spans="1:65" ht="15.6" thickTop="1" thickBot="1" x14ac:dyDescent="0.35">
      <c r="A8" s="26"/>
      <c r="B8" s="15">
        <v>2020</v>
      </c>
      <c r="C8" s="15">
        <v>11560987</v>
      </c>
      <c r="D8" s="15">
        <v>1587</v>
      </c>
      <c r="E8" s="16">
        <f t="shared" si="0"/>
        <v>13.727201665394141</v>
      </c>
      <c r="F8" s="17">
        <f t="shared" si="1"/>
        <v>2.6193793873100124</v>
      </c>
      <c r="G8" s="27"/>
      <c r="H8" s="19"/>
      <c r="I8" s="28"/>
      <c r="J8" s="28"/>
      <c r="K8" s="27"/>
      <c r="L8" s="15">
        <v>5897158</v>
      </c>
      <c r="M8" s="15">
        <v>1017</v>
      </c>
      <c r="N8" s="16">
        <f t="shared" si="2"/>
        <v>17.245595251136226</v>
      </c>
      <c r="O8" s="17">
        <f t="shared" si="3"/>
        <v>2.8475567631103598</v>
      </c>
      <c r="P8" s="27"/>
      <c r="Q8" s="19"/>
      <c r="R8" s="28"/>
      <c r="S8" s="28"/>
      <c r="T8" s="27"/>
      <c r="U8" s="15">
        <v>5663829</v>
      </c>
      <c r="V8" s="15">
        <v>570</v>
      </c>
      <c r="W8" s="16">
        <f t="shared" si="4"/>
        <v>10.063863156885562</v>
      </c>
      <c r="X8" s="17">
        <f t="shared" si="5"/>
        <v>2.3089511025768452</v>
      </c>
      <c r="Y8" s="27"/>
      <c r="Z8" s="19"/>
      <c r="AA8" s="28"/>
      <c r="AB8" s="28"/>
      <c r="AC8" s="29"/>
      <c r="AD8" s="22" t="s">
        <v>49</v>
      </c>
      <c r="AE8" s="12" t="s">
        <v>50</v>
      </c>
      <c r="AF8" s="23"/>
      <c r="AG8" s="24"/>
      <c r="AH8" s="22" t="s">
        <v>49</v>
      </c>
      <c r="AI8" s="12" t="s">
        <v>50</v>
      </c>
      <c r="AJ8" s="23"/>
      <c r="AK8" s="24"/>
      <c r="AL8" s="22" t="s">
        <v>49</v>
      </c>
      <c r="AM8" s="12" t="s">
        <v>50</v>
      </c>
      <c r="AN8" s="23"/>
      <c r="AO8" s="25"/>
      <c r="AP8" s="22" t="s">
        <v>49</v>
      </c>
      <c r="AQ8" s="12" t="s">
        <v>50</v>
      </c>
      <c r="AR8" s="23"/>
      <c r="AS8" s="24"/>
      <c r="AT8" s="9" t="s">
        <v>49</v>
      </c>
      <c r="AU8" s="9" t="s">
        <v>50</v>
      </c>
      <c r="AV8" s="9"/>
      <c r="AW8" s="9"/>
      <c r="AX8" s="9" t="s">
        <v>49</v>
      </c>
      <c r="AY8" s="9" t="s">
        <v>50</v>
      </c>
      <c r="AZ8" s="9"/>
      <c r="BA8" s="9"/>
      <c r="BB8" s="9" t="s">
        <v>49</v>
      </c>
      <c r="BC8" s="9" t="s">
        <v>50</v>
      </c>
      <c r="BD8" s="9"/>
      <c r="BE8" s="9"/>
      <c r="BF8" s="9" t="s">
        <v>49</v>
      </c>
      <c r="BG8" s="9" t="s">
        <v>50</v>
      </c>
      <c r="BH8" s="9"/>
      <c r="BI8" s="9"/>
      <c r="BJ8" s="9" t="s">
        <v>49</v>
      </c>
      <c r="BK8" s="9" t="s">
        <v>50</v>
      </c>
      <c r="BL8" s="9"/>
      <c r="BM8" s="9"/>
    </row>
    <row r="9" spans="1:65" ht="15.6" thickTop="1" thickBot="1" x14ac:dyDescent="0.35">
      <c r="A9" s="30"/>
      <c r="B9" s="15">
        <v>2021</v>
      </c>
      <c r="C9" s="15">
        <v>11630298</v>
      </c>
      <c r="D9" s="15">
        <v>1754</v>
      </c>
      <c r="E9" s="16">
        <f t="shared" si="0"/>
        <v>15.081298862677466</v>
      </c>
      <c r="F9" s="17">
        <f t="shared" si="1"/>
        <v>2.713455490347993</v>
      </c>
      <c r="G9" s="31"/>
      <c r="H9" s="19"/>
      <c r="I9" s="32"/>
      <c r="J9" s="32"/>
      <c r="K9" s="31"/>
      <c r="L9" s="15">
        <v>5936748</v>
      </c>
      <c r="M9" s="15">
        <v>1101</v>
      </c>
      <c r="N9" s="16">
        <f t="shared" si="2"/>
        <v>18.545506731968413</v>
      </c>
      <c r="O9" s="17">
        <f t="shared" si="3"/>
        <v>2.9202275350205755</v>
      </c>
      <c r="P9" s="31"/>
      <c r="Q9" s="19"/>
      <c r="R9" s="32"/>
      <c r="S9" s="32"/>
      <c r="T9" s="31"/>
      <c r="U9" s="15">
        <v>5693550</v>
      </c>
      <c r="V9" s="15">
        <v>653</v>
      </c>
      <c r="W9" s="16">
        <f t="shared" si="4"/>
        <v>11.469118563989076</v>
      </c>
      <c r="X9" s="17">
        <f t="shared" si="5"/>
        <v>2.4396580811081012</v>
      </c>
      <c r="Y9" s="31"/>
      <c r="Z9" s="19"/>
      <c r="AA9" s="32"/>
      <c r="AB9" s="32"/>
      <c r="AC9" s="33"/>
      <c r="AD9" s="22" t="s">
        <v>51</v>
      </c>
      <c r="AE9" s="12" t="s">
        <v>52</v>
      </c>
      <c r="AF9" s="23"/>
      <c r="AG9" s="24"/>
      <c r="AH9" s="22" t="s">
        <v>51</v>
      </c>
      <c r="AI9" s="12" t="s">
        <v>52</v>
      </c>
      <c r="AJ9" s="23"/>
      <c r="AK9" s="24"/>
      <c r="AL9" s="22" t="s">
        <v>51</v>
      </c>
      <c r="AM9" s="12" t="s">
        <v>52</v>
      </c>
      <c r="AN9" s="23"/>
      <c r="AO9" s="25"/>
      <c r="AP9" s="22" t="s">
        <v>51</v>
      </c>
      <c r="AQ9" s="12" t="s">
        <v>52</v>
      </c>
      <c r="AR9" s="23"/>
      <c r="AS9" s="24"/>
      <c r="AT9" s="9" t="s">
        <v>51</v>
      </c>
      <c r="AU9" s="9" t="s">
        <v>52</v>
      </c>
      <c r="AV9" s="9"/>
      <c r="AW9" s="9"/>
      <c r="AX9" s="9" t="s">
        <v>51</v>
      </c>
      <c r="AY9" s="9" t="s">
        <v>52</v>
      </c>
      <c r="AZ9" s="9"/>
      <c r="BA9" s="9"/>
      <c r="BB9" s="9" t="s">
        <v>51</v>
      </c>
      <c r="BC9" s="9" t="s">
        <v>52</v>
      </c>
      <c r="BD9" s="9"/>
      <c r="BE9" s="9"/>
      <c r="BF9" s="9" t="s">
        <v>51</v>
      </c>
      <c r="BG9" s="9" t="s">
        <v>52</v>
      </c>
      <c r="BH9" s="9"/>
      <c r="BI9" s="9"/>
      <c r="BJ9" s="9" t="s">
        <v>51</v>
      </c>
      <c r="BK9" s="9" t="s">
        <v>52</v>
      </c>
      <c r="BL9" s="9"/>
      <c r="BM9" s="9"/>
    </row>
    <row r="10" spans="1:65" ht="15" customHeight="1" thickTop="1" thickBot="1" x14ac:dyDescent="0.35">
      <c r="A10" s="34" t="s">
        <v>53</v>
      </c>
      <c r="B10" s="35">
        <v>2016</v>
      </c>
      <c r="C10" s="35">
        <v>11109776</v>
      </c>
      <c r="D10" s="35">
        <v>1755</v>
      </c>
      <c r="E10" s="16">
        <f t="shared" si="0"/>
        <v>15.79689815528234</v>
      </c>
      <c r="F10" s="17">
        <f t="shared" si="1"/>
        <v>2.7598136014738399</v>
      </c>
      <c r="G10" s="18">
        <v>5.74E-2</v>
      </c>
      <c r="H10" s="19">
        <f t="shared" ref="H10" si="6">(EXP(G10)-1)*100</f>
        <v>5.9079357423416523</v>
      </c>
      <c r="I10" s="20">
        <f>(EXP(0.018) - 1) * 100</f>
        <v>1.8162976389793695</v>
      </c>
      <c r="J10" s="20">
        <f>(EXP(0.096) - 1) * 100</f>
        <v>10.075906399397883</v>
      </c>
      <c r="K10" s="36">
        <v>1.49E-2</v>
      </c>
      <c r="L10" s="35">
        <v>5709062</v>
      </c>
      <c r="M10" s="35">
        <v>1163</v>
      </c>
      <c r="N10" s="16">
        <f t="shared" si="2"/>
        <v>20.371122261415273</v>
      </c>
      <c r="O10" s="17">
        <f t="shared" si="3"/>
        <v>3.0141183225559245</v>
      </c>
      <c r="P10" s="18">
        <v>5.6300000000000003E-2</v>
      </c>
      <c r="Q10" s="19">
        <f t="shared" ref="Q10" si="7">(EXP(P10)-1)*100</f>
        <v>5.7915010638387443</v>
      </c>
      <c r="R10" s="20">
        <f>(EXP(0.013) - 1) * 100</f>
        <v>1.3084867359809182</v>
      </c>
      <c r="S10" s="20">
        <f>(EXP(0.1) - 1) * 100</f>
        <v>10.517091807564771</v>
      </c>
      <c r="T10" s="37">
        <v>2.3E-2</v>
      </c>
      <c r="U10" s="35">
        <v>5400714</v>
      </c>
      <c r="V10" s="35">
        <v>592</v>
      </c>
      <c r="W10" s="16">
        <f t="shared" si="4"/>
        <v>10.96151360727489</v>
      </c>
      <c r="X10" s="17">
        <f t="shared" si="5"/>
        <v>2.3943903748380966</v>
      </c>
      <c r="Y10" s="18">
        <v>6.0299999999999999E-2</v>
      </c>
      <c r="Z10" s="19">
        <f t="shared" ref="Z10" si="8">(EXP(Y10)-1)*100</f>
        <v>6.2155145296746372</v>
      </c>
      <c r="AA10" s="20">
        <f>(EXP(0.018) - 1) * 100</f>
        <v>1.8162976389793695</v>
      </c>
      <c r="AB10" s="20">
        <f>(EXP(0.103) - 1) * 100</f>
        <v>10.849140907600718</v>
      </c>
      <c r="AC10" s="38">
        <v>1.72E-2</v>
      </c>
      <c r="AD10" s="22" t="s">
        <v>54</v>
      </c>
      <c r="AE10" s="12">
        <v>3.5</v>
      </c>
      <c r="AF10" s="23"/>
      <c r="AG10" s="24"/>
      <c r="AH10" s="22" t="s">
        <v>54</v>
      </c>
      <c r="AI10" s="12">
        <v>3.5</v>
      </c>
      <c r="AJ10" s="23"/>
      <c r="AK10" s="24"/>
      <c r="AL10" s="22" t="s">
        <v>54</v>
      </c>
      <c r="AM10" s="12">
        <v>3.5</v>
      </c>
      <c r="AN10" s="23"/>
      <c r="AO10" s="25"/>
      <c r="AP10" s="22" t="s">
        <v>54</v>
      </c>
      <c r="AQ10" s="12">
        <v>3.5</v>
      </c>
      <c r="AR10" s="23"/>
      <c r="AS10" s="24"/>
      <c r="AT10" s="9" t="s">
        <v>54</v>
      </c>
      <c r="AU10" s="9">
        <v>3.5</v>
      </c>
      <c r="AV10" s="9"/>
      <c r="AW10" s="9"/>
      <c r="AX10" s="9" t="s">
        <v>54</v>
      </c>
      <c r="AY10" s="9">
        <v>3.5</v>
      </c>
      <c r="AZ10" s="9"/>
      <c r="BA10" s="9"/>
      <c r="BB10" s="9" t="s">
        <v>54</v>
      </c>
      <c r="BC10" s="9" t="s">
        <v>55</v>
      </c>
      <c r="BD10" s="9"/>
      <c r="BE10" s="9"/>
      <c r="BF10" s="9" t="s">
        <v>54</v>
      </c>
      <c r="BG10" s="9">
        <v>3.5</v>
      </c>
      <c r="BH10" s="9"/>
      <c r="BI10" s="9"/>
      <c r="BJ10" s="9" t="s">
        <v>54</v>
      </c>
      <c r="BK10" s="9">
        <v>3.5</v>
      </c>
      <c r="BL10" s="9"/>
      <c r="BM10" s="9"/>
    </row>
    <row r="11" spans="1:65" ht="16.2" customHeight="1" thickTop="1" thickBot="1" x14ac:dyDescent="0.35">
      <c r="A11" s="39"/>
      <c r="B11" s="35">
        <v>2017</v>
      </c>
      <c r="C11" s="35">
        <v>11141074</v>
      </c>
      <c r="D11" s="35">
        <v>1820</v>
      </c>
      <c r="E11" s="16">
        <f t="shared" si="0"/>
        <v>16.335947503804391</v>
      </c>
      <c r="F11" s="17">
        <f t="shared" si="1"/>
        <v>2.7933680478890115</v>
      </c>
      <c r="G11" s="27"/>
      <c r="H11" s="19"/>
      <c r="I11" s="28"/>
      <c r="J11" s="28"/>
      <c r="K11" s="40"/>
      <c r="L11" s="35">
        <v>5726090</v>
      </c>
      <c r="M11" s="35">
        <v>1238</v>
      </c>
      <c r="N11" s="16">
        <f t="shared" si="2"/>
        <v>21.620337787216059</v>
      </c>
      <c r="O11" s="17">
        <f t="shared" si="3"/>
        <v>3.0736344359195416</v>
      </c>
      <c r="P11" s="27"/>
      <c r="Q11" s="19"/>
      <c r="R11" s="28"/>
      <c r="S11" s="28"/>
      <c r="T11" s="41"/>
      <c r="U11" s="35">
        <v>5414984</v>
      </c>
      <c r="V11" s="35">
        <v>582</v>
      </c>
      <c r="W11" s="16">
        <f t="shared" si="4"/>
        <v>10.747954195247853</v>
      </c>
      <c r="X11" s="17">
        <f t="shared" si="5"/>
        <v>2.3747154290441128</v>
      </c>
      <c r="Y11" s="27"/>
      <c r="Z11" s="19"/>
      <c r="AA11" s="28"/>
      <c r="AB11" s="28"/>
      <c r="AC11" s="42"/>
      <c r="AD11" s="22" t="s">
        <v>56</v>
      </c>
      <c r="AE11" s="12">
        <v>2.5867</v>
      </c>
      <c r="AF11" s="23"/>
      <c r="AG11" s="24"/>
      <c r="AH11" s="22" t="s">
        <v>56</v>
      </c>
      <c r="AI11" s="12">
        <v>2.7917000000000001</v>
      </c>
      <c r="AJ11" s="23"/>
      <c r="AK11" s="24"/>
      <c r="AL11" s="22" t="s">
        <v>56</v>
      </c>
      <c r="AM11" s="12">
        <v>2.3167</v>
      </c>
      <c r="AN11" s="23"/>
      <c r="AO11" s="25"/>
      <c r="AP11" s="22" t="s">
        <v>56</v>
      </c>
      <c r="AQ11" s="12">
        <v>2.9182999999999999</v>
      </c>
      <c r="AR11" s="23"/>
      <c r="AS11" s="24"/>
      <c r="AT11" s="9" t="s">
        <v>56</v>
      </c>
      <c r="AU11" s="9">
        <v>3.1783000000000001</v>
      </c>
      <c r="AV11" s="9"/>
      <c r="AW11" s="9"/>
      <c r="AX11" s="9" t="s">
        <v>56</v>
      </c>
      <c r="AY11" s="9">
        <v>2.5350000000000001</v>
      </c>
      <c r="AZ11" s="9"/>
      <c r="BA11" s="9"/>
      <c r="BB11" s="9" t="s">
        <v>56</v>
      </c>
      <c r="BC11" s="9" t="s">
        <v>57</v>
      </c>
      <c r="BD11" s="9"/>
      <c r="BE11" s="9"/>
      <c r="BF11" s="9" t="s">
        <v>56</v>
      </c>
      <c r="BG11" s="9">
        <v>2.6983000000000001</v>
      </c>
      <c r="BH11" s="9"/>
      <c r="BI11" s="9"/>
      <c r="BJ11" s="9" t="s">
        <v>56</v>
      </c>
      <c r="BK11" s="9">
        <v>2.085</v>
      </c>
      <c r="BL11" s="9"/>
      <c r="BM11" s="9"/>
    </row>
    <row r="12" spans="1:65" ht="22.2" customHeight="1" thickTop="1" thickBot="1" x14ac:dyDescent="0.35">
      <c r="A12" s="39"/>
      <c r="B12" s="35">
        <v>2018</v>
      </c>
      <c r="C12" s="35">
        <v>11167531</v>
      </c>
      <c r="D12" s="35">
        <v>2176</v>
      </c>
      <c r="E12" s="16">
        <f t="shared" si="0"/>
        <v>19.485058962451056</v>
      </c>
      <c r="F12" s="17">
        <f t="shared" si="1"/>
        <v>2.9696479648292584</v>
      </c>
      <c r="G12" s="27"/>
      <c r="H12" s="19"/>
      <c r="I12" s="28"/>
      <c r="J12" s="28"/>
      <c r="K12" s="40"/>
      <c r="L12" s="35">
        <v>5740657</v>
      </c>
      <c r="M12" s="35">
        <v>1473</v>
      </c>
      <c r="N12" s="16">
        <f t="shared" si="2"/>
        <v>25.659083968960346</v>
      </c>
      <c r="O12" s="17">
        <f t="shared" si="3"/>
        <v>3.244897659756834</v>
      </c>
      <c r="P12" s="27"/>
      <c r="Q12" s="19"/>
      <c r="R12" s="28"/>
      <c r="S12" s="28"/>
      <c r="T12" s="41"/>
      <c r="U12" s="35">
        <v>5426874</v>
      </c>
      <c r="V12" s="35">
        <v>702</v>
      </c>
      <c r="W12" s="16">
        <f t="shared" si="4"/>
        <v>12.93562371265668</v>
      </c>
      <c r="X12" s="17">
        <f t="shared" si="5"/>
        <v>2.5599850334671199</v>
      </c>
      <c r="Y12" s="27"/>
      <c r="Z12" s="19"/>
      <c r="AA12" s="28"/>
      <c r="AB12" s="28"/>
      <c r="AC12" s="42"/>
      <c r="AD12" s="22" t="s">
        <v>58</v>
      </c>
      <c r="AE12" s="43">
        <v>0.89859999999999995</v>
      </c>
      <c r="AF12" s="23"/>
      <c r="AG12" s="24"/>
      <c r="AH12" s="22" t="s">
        <v>58</v>
      </c>
      <c r="AI12" s="12">
        <v>0.93200000000000005</v>
      </c>
      <c r="AJ12" s="23"/>
      <c r="AK12" s="24"/>
      <c r="AL12" s="22" t="s">
        <v>58</v>
      </c>
      <c r="AM12" s="12">
        <v>0.76349999999999996</v>
      </c>
      <c r="AN12" s="23"/>
      <c r="AO12" s="25"/>
      <c r="AP12" s="22" t="s">
        <v>58</v>
      </c>
      <c r="AQ12" s="12">
        <v>0.80740000000000001</v>
      </c>
      <c r="AR12" s="23"/>
      <c r="AS12" s="24"/>
      <c r="AT12" s="9" t="s">
        <v>58</v>
      </c>
      <c r="AU12" s="9">
        <v>0.76280000000000003</v>
      </c>
      <c r="AV12" s="9"/>
      <c r="AW12" s="9"/>
      <c r="AX12" s="9" t="s">
        <v>58</v>
      </c>
      <c r="AY12" s="9">
        <v>0.79349999999999998</v>
      </c>
      <c r="AZ12" s="9"/>
      <c r="BA12" s="9"/>
      <c r="BB12" s="9" t="s">
        <v>58</v>
      </c>
      <c r="BC12" s="9" t="s">
        <v>59</v>
      </c>
      <c r="BD12" s="9"/>
      <c r="BE12" s="9"/>
      <c r="BF12" s="9" t="s">
        <v>58</v>
      </c>
      <c r="BG12" s="9">
        <v>0.85199999999999998</v>
      </c>
      <c r="BH12" s="9"/>
      <c r="BI12" s="9"/>
      <c r="BJ12" s="9" t="s">
        <v>58</v>
      </c>
      <c r="BK12" s="9">
        <v>0.45440000000000003</v>
      </c>
      <c r="BL12" s="9"/>
      <c r="BM12" s="9"/>
    </row>
    <row r="13" spans="1:65" ht="15.6" thickTop="1" thickBot="1" x14ac:dyDescent="0.35">
      <c r="A13" s="39"/>
      <c r="B13" s="35">
        <v>2019</v>
      </c>
      <c r="C13" s="35">
        <v>11194346</v>
      </c>
      <c r="D13" s="35">
        <v>2214</v>
      </c>
      <c r="E13" s="16">
        <f t="shared" si="0"/>
        <v>19.77784142101736</v>
      </c>
      <c r="F13" s="17">
        <f t="shared" si="1"/>
        <v>2.9845621908672966</v>
      </c>
      <c r="G13" s="27"/>
      <c r="H13" s="19"/>
      <c r="I13" s="28"/>
      <c r="J13" s="28"/>
      <c r="K13" s="40"/>
      <c r="L13" s="35">
        <v>5754837</v>
      </c>
      <c r="M13" s="35">
        <v>1451</v>
      </c>
      <c r="N13" s="16">
        <f t="shared" si="2"/>
        <v>25.213572513000802</v>
      </c>
      <c r="O13" s="17">
        <f t="shared" si="3"/>
        <v>3.2273824413146253</v>
      </c>
      <c r="P13" s="27"/>
      <c r="Q13" s="19"/>
      <c r="R13" s="28"/>
      <c r="S13" s="28"/>
      <c r="T13" s="41"/>
      <c r="U13" s="35">
        <v>5439509</v>
      </c>
      <c r="V13" s="35">
        <v>763</v>
      </c>
      <c r="W13" s="16">
        <f t="shared" si="4"/>
        <v>14.027001334127766</v>
      </c>
      <c r="X13" s="17">
        <f t="shared" si="5"/>
        <v>2.6409841388489412</v>
      </c>
      <c r="Y13" s="27"/>
      <c r="Z13" s="19"/>
      <c r="AA13" s="28"/>
      <c r="AB13" s="28"/>
      <c r="AC13" s="42"/>
      <c r="AD13" s="22" t="s">
        <v>60</v>
      </c>
      <c r="AE13" s="43">
        <v>0.87319999999999998</v>
      </c>
      <c r="AF13" s="23"/>
      <c r="AG13" s="24"/>
      <c r="AH13" s="22" t="s">
        <v>60</v>
      </c>
      <c r="AI13" s="12">
        <v>0.91500000000000004</v>
      </c>
      <c r="AJ13" s="23"/>
      <c r="AK13" s="24"/>
      <c r="AL13" s="22" t="s">
        <v>60</v>
      </c>
      <c r="AM13" s="12">
        <v>0.70440000000000003</v>
      </c>
      <c r="AN13" s="23"/>
      <c r="AO13" s="25"/>
      <c r="AP13" s="22" t="s">
        <v>60</v>
      </c>
      <c r="AQ13" s="12">
        <v>0.75929999999999997</v>
      </c>
      <c r="AR13" s="23"/>
      <c r="AS13" s="24"/>
      <c r="AT13" s="9" t="s">
        <v>60</v>
      </c>
      <c r="AU13" s="9">
        <v>0.70350000000000001</v>
      </c>
      <c r="AV13" s="9"/>
      <c r="AW13" s="9"/>
      <c r="AX13" s="9" t="s">
        <v>60</v>
      </c>
      <c r="AY13" s="9">
        <v>0.7419</v>
      </c>
      <c r="AZ13" s="9"/>
      <c r="BA13" s="9"/>
      <c r="BB13" s="9" t="s">
        <v>60</v>
      </c>
      <c r="BC13" s="9" t="s">
        <v>61</v>
      </c>
      <c r="BD13" s="9"/>
      <c r="BE13" s="9"/>
      <c r="BF13" s="9" t="s">
        <v>60</v>
      </c>
      <c r="BG13" s="9">
        <v>0.81499999999999995</v>
      </c>
      <c r="BH13" s="9"/>
      <c r="BI13" s="9"/>
      <c r="BJ13" s="9" t="s">
        <v>60</v>
      </c>
      <c r="BK13" s="9">
        <v>0.318</v>
      </c>
      <c r="BL13" s="9"/>
      <c r="BM13" s="9"/>
    </row>
    <row r="14" spans="1:65" ht="25.95" customHeight="1" thickTop="1" thickBot="1" x14ac:dyDescent="0.35">
      <c r="A14" s="39"/>
      <c r="B14" s="35">
        <v>2020</v>
      </c>
      <c r="C14" s="35">
        <v>11220286</v>
      </c>
      <c r="D14" s="35">
        <v>2113</v>
      </c>
      <c r="E14" s="16">
        <f t="shared" si="0"/>
        <v>18.831962037331312</v>
      </c>
      <c r="F14" s="17">
        <f t="shared" si="1"/>
        <v>2.9355555346562516</v>
      </c>
      <c r="G14" s="27"/>
      <c r="H14" s="19"/>
      <c r="I14" s="28"/>
      <c r="J14" s="28"/>
      <c r="K14" s="40"/>
      <c r="L14" s="35">
        <v>5768602</v>
      </c>
      <c r="M14" s="35">
        <v>1394</v>
      </c>
      <c r="N14" s="16">
        <f t="shared" si="2"/>
        <v>24.165300362202142</v>
      </c>
      <c r="O14" s="17">
        <f t="shared" si="3"/>
        <v>3.1849177348577946</v>
      </c>
      <c r="P14" s="27"/>
      <c r="Q14" s="19"/>
      <c r="R14" s="28"/>
      <c r="S14" s="28"/>
      <c r="T14" s="41"/>
      <c r="U14" s="35">
        <v>5451684</v>
      </c>
      <c r="V14" s="35">
        <v>719</v>
      </c>
      <c r="W14" s="16">
        <f t="shared" si="4"/>
        <v>13.188585398566754</v>
      </c>
      <c r="X14" s="17">
        <f t="shared" si="5"/>
        <v>2.579351712953994</v>
      </c>
      <c r="Y14" s="27"/>
      <c r="Z14" s="19"/>
      <c r="AA14" s="28"/>
      <c r="AB14" s="28"/>
      <c r="AC14" s="42"/>
      <c r="AD14" s="22" t="s">
        <v>62</v>
      </c>
      <c r="AE14" s="43">
        <v>0.94789999999999996</v>
      </c>
      <c r="AF14" s="23"/>
      <c r="AG14" s="24"/>
      <c r="AH14" s="22" t="s">
        <v>62</v>
      </c>
      <c r="AI14" s="12">
        <v>0.96540000000000004</v>
      </c>
      <c r="AJ14" s="23"/>
      <c r="AK14" s="24"/>
      <c r="AL14" s="22" t="s">
        <v>62</v>
      </c>
      <c r="AM14" s="12">
        <v>0.87380000000000002</v>
      </c>
      <c r="AN14" s="23"/>
      <c r="AO14" s="25"/>
      <c r="AP14" s="22" t="s">
        <v>62</v>
      </c>
      <c r="AQ14" s="12">
        <v>0.89859999999999995</v>
      </c>
      <c r="AR14" s="23"/>
      <c r="AS14" s="24"/>
      <c r="AT14" s="9" t="s">
        <v>62</v>
      </c>
      <c r="AU14" s="9">
        <v>0.87339999999999995</v>
      </c>
      <c r="AV14" s="9"/>
      <c r="AW14" s="9"/>
      <c r="AX14" s="9" t="s">
        <v>62</v>
      </c>
      <c r="AY14" s="9">
        <v>0.89080000000000004</v>
      </c>
      <c r="AZ14" s="9"/>
      <c r="BA14" s="9"/>
      <c r="BB14" s="9" t="s">
        <v>62</v>
      </c>
      <c r="BC14" s="9" t="s">
        <v>63</v>
      </c>
      <c r="BD14" s="9"/>
      <c r="BE14" s="9"/>
      <c r="BF14" s="9" t="s">
        <v>62</v>
      </c>
      <c r="BG14" s="9">
        <v>0.92300000000000004</v>
      </c>
      <c r="BH14" s="9"/>
      <c r="BI14" s="9"/>
      <c r="BJ14" s="9" t="s">
        <v>62</v>
      </c>
      <c r="BK14" s="9">
        <v>0.67410000000000003</v>
      </c>
      <c r="BL14" s="9"/>
      <c r="BM14" s="9"/>
    </row>
    <row r="15" spans="1:65" ht="15.6" thickTop="1" thickBot="1" x14ac:dyDescent="0.35">
      <c r="A15" s="44"/>
      <c r="B15" s="35">
        <v>2021</v>
      </c>
      <c r="C15" s="35">
        <v>11227789</v>
      </c>
      <c r="D15" s="35">
        <v>2423</v>
      </c>
      <c r="E15" s="16">
        <f t="shared" si="0"/>
        <v>21.580384170026708</v>
      </c>
      <c r="F15" s="17">
        <f t="shared" si="1"/>
        <v>3.0717847618043734</v>
      </c>
      <c r="G15" s="31"/>
      <c r="H15" s="19"/>
      <c r="I15" s="32"/>
      <c r="J15" s="32"/>
      <c r="K15" s="45"/>
      <c r="L15" s="35">
        <v>5773931</v>
      </c>
      <c r="M15" s="35">
        <v>1634</v>
      </c>
      <c r="N15" s="16">
        <f t="shared" si="2"/>
        <v>28.299610785095975</v>
      </c>
      <c r="O15" s="17">
        <f t="shared" si="3"/>
        <v>3.3428480513777954</v>
      </c>
      <c r="P15" s="31"/>
      <c r="Q15" s="19"/>
      <c r="R15" s="32"/>
      <c r="S15" s="32"/>
      <c r="T15" s="46"/>
      <c r="U15" s="35">
        <v>5453858</v>
      </c>
      <c r="V15" s="35">
        <v>789</v>
      </c>
      <c r="W15" s="16">
        <f t="shared" si="4"/>
        <v>14.46682330196349</v>
      </c>
      <c r="X15" s="17">
        <f t="shared" si="5"/>
        <v>2.6718579797042996</v>
      </c>
      <c r="Y15" s="31"/>
      <c r="Z15" s="19"/>
      <c r="AA15" s="32"/>
      <c r="AB15" s="32"/>
      <c r="AC15" s="47"/>
      <c r="AD15" s="22" t="s">
        <v>64</v>
      </c>
      <c r="AE15" s="48">
        <v>2.4127000000000001</v>
      </c>
      <c r="AF15" s="23" t="s">
        <v>65</v>
      </c>
      <c r="AG15" s="24" t="s">
        <v>66</v>
      </c>
      <c r="AH15" s="22" t="s">
        <v>64</v>
      </c>
      <c r="AI15" s="12">
        <v>2.5966999999999998</v>
      </c>
      <c r="AJ15" s="23" t="s">
        <v>67</v>
      </c>
      <c r="AK15" s="24" t="s">
        <v>66</v>
      </c>
      <c r="AL15" s="22" t="s">
        <v>64</v>
      </c>
      <c r="AM15" s="12">
        <v>2.1606999999999998</v>
      </c>
      <c r="AN15" s="23" t="s">
        <v>68</v>
      </c>
      <c r="AO15" s="25" t="s">
        <v>66</v>
      </c>
      <c r="AP15" s="22" t="s">
        <v>64</v>
      </c>
      <c r="AQ15" s="12">
        <v>2.7172999999999998</v>
      </c>
      <c r="AR15" s="23" t="s">
        <v>69</v>
      </c>
      <c r="AS15" s="24" t="s">
        <v>66</v>
      </c>
      <c r="AT15" s="9" t="s">
        <v>64</v>
      </c>
      <c r="AU15" s="9">
        <v>2.9813000000000001</v>
      </c>
      <c r="AV15" s="9" t="s">
        <v>70</v>
      </c>
      <c r="AW15" s="9" t="s">
        <v>66</v>
      </c>
      <c r="AX15" s="9" t="s">
        <v>64</v>
      </c>
      <c r="AY15" s="9">
        <v>2.3239999999999998</v>
      </c>
      <c r="AZ15" s="9" t="s">
        <v>71</v>
      </c>
      <c r="BA15" s="9" t="s">
        <v>66</v>
      </c>
      <c r="BB15" s="9" t="s">
        <v>64</v>
      </c>
      <c r="BC15" s="9" t="s">
        <v>72</v>
      </c>
      <c r="BD15" s="9" t="s">
        <v>73</v>
      </c>
      <c r="BE15" s="9" t="s">
        <v>66</v>
      </c>
      <c r="BF15" s="9" t="s">
        <v>64</v>
      </c>
      <c r="BG15" s="9">
        <v>2.5432999999999999</v>
      </c>
      <c r="BH15" s="9" t="s">
        <v>74</v>
      </c>
      <c r="BI15" s="9" t="s">
        <v>66</v>
      </c>
      <c r="BJ15" s="9" t="s">
        <v>64</v>
      </c>
      <c r="BK15" s="9">
        <v>1.976</v>
      </c>
      <c r="BL15" s="9" t="s">
        <v>75</v>
      </c>
      <c r="BM15" s="9" t="s">
        <v>66</v>
      </c>
    </row>
    <row r="16" spans="1:65" ht="23.4" customHeight="1" thickTop="1" thickBot="1" x14ac:dyDescent="0.35">
      <c r="A16" s="14" t="s">
        <v>76</v>
      </c>
      <c r="B16" s="15">
        <v>2016</v>
      </c>
      <c r="C16" s="15">
        <v>7011473</v>
      </c>
      <c r="D16" s="15">
        <v>739</v>
      </c>
      <c r="E16" s="16">
        <f t="shared" si="0"/>
        <v>10.539868013468782</v>
      </c>
      <c r="F16" s="17">
        <f t="shared" si="1"/>
        <v>2.355165020593518</v>
      </c>
      <c r="G16" s="18">
        <v>3.8600000000000002E-2</v>
      </c>
      <c r="H16" s="19">
        <f t="shared" ref="H16" si="9">(EXP(G16)-1)*100</f>
        <v>3.935465862724663</v>
      </c>
      <c r="I16" s="20">
        <f>(EXP(0.008) - 1) * 100</f>
        <v>0.80320855042734784</v>
      </c>
      <c r="J16" s="20">
        <f>(EXP(0.069) - 1) * 100</f>
        <v>7.1436209148346252</v>
      </c>
      <c r="K16" s="18">
        <v>2.5499999999999998E-2</v>
      </c>
      <c r="L16" s="15">
        <v>3538293</v>
      </c>
      <c r="M16" s="15">
        <v>478</v>
      </c>
      <c r="N16" s="16">
        <f t="shared" si="2"/>
        <v>13.509339107869247</v>
      </c>
      <c r="O16" s="17">
        <f>LN(N16)</f>
        <v>2.6033812320389997</v>
      </c>
      <c r="P16" s="18">
        <v>4.4299999999999999E-2</v>
      </c>
      <c r="Q16" s="19">
        <f t="shared" ref="Q16" si="10">(EXP(P16)-1)*100</f>
        <v>4.5295896623819054</v>
      </c>
      <c r="R16" s="20">
        <f>(EXP(0.019) - 1) * 100</f>
        <v>1.918164861740812</v>
      </c>
      <c r="S16" s="20">
        <f>(EXP(0.07) - 1) * 100</f>
        <v>7.2508181254216542</v>
      </c>
      <c r="T16" s="18">
        <v>8.6E-3</v>
      </c>
      <c r="U16" s="15">
        <v>3473180</v>
      </c>
      <c r="V16" s="15">
        <v>261</v>
      </c>
      <c r="W16" s="16">
        <f t="shared" si="4"/>
        <v>7.5147271376663456</v>
      </c>
      <c r="X16" s="17">
        <f t="shared" si="5"/>
        <v>2.0168647135193147</v>
      </c>
      <c r="Y16" s="18">
        <v>3.1099999999999999E-2</v>
      </c>
      <c r="Z16" s="19">
        <f t="shared" ref="Z16" si="11">(EXP(Y16)-1)*100</f>
        <v>3.1588657594510794</v>
      </c>
      <c r="AA16" s="20">
        <f>(EXP(-0.016) - 1) * 100</f>
        <v>-1.5872679944714863</v>
      </c>
      <c r="AB16" s="20">
        <f>(EXP(0.079) - 1) * 100</f>
        <v>8.2204322070314806</v>
      </c>
      <c r="AC16" s="21">
        <v>0.1419</v>
      </c>
      <c r="AD16" s="22" t="s">
        <v>77</v>
      </c>
      <c r="AE16" s="12">
        <v>4.9700000000000001E-2</v>
      </c>
      <c r="AF16" s="23" t="s">
        <v>78</v>
      </c>
      <c r="AG16" s="24" t="s">
        <v>79</v>
      </c>
      <c r="AH16" s="22" t="s">
        <v>77</v>
      </c>
      <c r="AI16" s="12">
        <v>5.57E-2</v>
      </c>
      <c r="AJ16" s="23" t="s">
        <v>80</v>
      </c>
      <c r="AK16" s="24" t="s">
        <v>81</v>
      </c>
      <c r="AL16" s="22" t="s">
        <v>77</v>
      </c>
      <c r="AM16" s="12">
        <v>4.4600000000000001E-2</v>
      </c>
      <c r="AN16" s="23" t="s">
        <v>82</v>
      </c>
      <c r="AO16" s="25" t="s">
        <v>83</v>
      </c>
      <c r="AP16" s="22" t="s">
        <v>77</v>
      </c>
      <c r="AQ16" s="12">
        <v>5.74E-2</v>
      </c>
      <c r="AR16" s="23" t="s">
        <v>84</v>
      </c>
      <c r="AS16" s="24" t="s">
        <v>85</v>
      </c>
      <c r="AT16" s="9" t="s">
        <v>77</v>
      </c>
      <c r="AU16" s="9">
        <v>5.6300000000000003E-2</v>
      </c>
      <c r="AV16" s="9" t="s">
        <v>86</v>
      </c>
      <c r="AW16" s="9" t="s">
        <v>87</v>
      </c>
      <c r="AX16" s="9" t="s">
        <v>77</v>
      </c>
      <c r="AY16" s="9">
        <v>6.0299999999999999E-2</v>
      </c>
      <c r="AZ16" s="9" t="s">
        <v>88</v>
      </c>
      <c r="BA16" s="9" t="s">
        <v>89</v>
      </c>
      <c r="BB16" s="9" t="s">
        <v>77</v>
      </c>
      <c r="BC16" s="9" t="s">
        <v>90</v>
      </c>
      <c r="BD16" s="9" t="s">
        <v>91</v>
      </c>
      <c r="BE16" s="9" t="s">
        <v>92</v>
      </c>
      <c r="BF16" s="9" t="s">
        <v>77</v>
      </c>
      <c r="BG16" s="9">
        <v>4.4299999999999999E-2</v>
      </c>
      <c r="BH16" s="9" t="s">
        <v>93</v>
      </c>
      <c r="BI16" s="9" t="s">
        <v>94</v>
      </c>
      <c r="BJ16" s="9" t="s">
        <v>77</v>
      </c>
      <c r="BK16" s="9">
        <v>3.1099999999999999E-2</v>
      </c>
      <c r="BL16" s="9" t="s">
        <v>95</v>
      </c>
      <c r="BM16" s="9" t="s">
        <v>96</v>
      </c>
    </row>
    <row r="17" spans="1:65" ht="15.6" thickTop="1" thickBot="1" x14ac:dyDescent="0.35">
      <c r="A17" s="26"/>
      <c r="B17" s="15">
        <v>2017</v>
      </c>
      <c r="C17" s="15">
        <v>7135459</v>
      </c>
      <c r="D17" s="15">
        <v>778</v>
      </c>
      <c r="E17" s="16">
        <f t="shared" si="0"/>
        <v>10.903292976667654</v>
      </c>
      <c r="F17" s="17">
        <f t="shared" si="1"/>
        <v>2.3890648515608408</v>
      </c>
      <c r="G17" s="27"/>
      <c r="H17" s="19"/>
      <c r="I17" s="28"/>
      <c r="J17" s="28"/>
      <c r="K17" s="27"/>
      <c r="L17" s="15">
        <v>3601164</v>
      </c>
      <c r="M17" s="15">
        <v>505</v>
      </c>
      <c r="N17" s="16">
        <f t="shared" si="2"/>
        <v>14.023243595681839</v>
      </c>
      <c r="O17" s="17">
        <f t="shared" si="3"/>
        <v>2.6407162097468739</v>
      </c>
      <c r="P17" s="27"/>
      <c r="Q17" s="19"/>
      <c r="R17" s="28"/>
      <c r="S17" s="28"/>
      <c r="T17" s="27"/>
      <c r="U17" s="15">
        <v>3534295</v>
      </c>
      <c r="V17" s="15">
        <v>273</v>
      </c>
      <c r="W17" s="16">
        <f t="shared" si="4"/>
        <v>7.7243127695905409</v>
      </c>
      <c r="X17" s="17">
        <f t="shared" si="5"/>
        <v>2.0443728569611657</v>
      </c>
      <c r="Y17" s="27"/>
      <c r="Z17" s="19"/>
      <c r="AA17" s="28"/>
      <c r="AB17" s="28"/>
      <c r="AC17" s="29"/>
      <c r="AD17" s="22" t="s">
        <v>97</v>
      </c>
      <c r="AE17" s="12" t="s">
        <v>98</v>
      </c>
      <c r="AF17" s="23"/>
      <c r="AG17" s="24"/>
      <c r="AH17" s="22" t="s">
        <v>97</v>
      </c>
      <c r="AI17" s="12" t="s">
        <v>99</v>
      </c>
      <c r="AJ17" s="23"/>
      <c r="AK17" s="24"/>
      <c r="AL17" s="22" t="s">
        <v>97</v>
      </c>
      <c r="AM17" s="12" t="s">
        <v>100</v>
      </c>
      <c r="AN17" s="23"/>
      <c r="AO17" s="25"/>
      <c r="AP17" s="22" t="s">
        <v>97</v>
      </c>
      <c r="AQ17" s="12" t="s">
        <v>101</v>
      </c>
      <c r="AR17" s="23"/>
      <c r="AS17" s="24"/>
      <c r="AT17" s="9" t="s">
        <v>97</v>
      </c>
      <c r="AU17" s="9" t="s">
        <v>102</v>
      </c>
      <c r="AV17" s="9"/>
      <c r="AW17" s="9"/>
      <c r="AX17" s="9" t="s">
        <v>97</v>
      </c>
      <c r="AY17" s="9" t="s">
        <v>103</v>
      </c>
      <c r="AZ17" s="9"/>
      <c r="BA17" s="9"/>
      <c r="BB17" s="9" t="s">
        <v>97</v>
      </c>
      <c r="BC17" s="9" t="s">
        <v>104</v>
      </c>
      <c r="BD17" s="9"/>
      <c r="BE17" s="9"/>
      <c r="BF17" s="9" t="s">
        <v>97</v>
      </c>
      <c r="BG17" s="9" t="s">
        <v>105</v>
      </c>
      <c r="BH17" s="9"/>
      <c r="BI17" s="9"/>
      <c r="BJ17" s="9" t="s">
        <v>97</v>
      </c>
      <c r="BK17" s="9" t="s">
        <v>106</v>
      </c>
      <c r="BL17" s="9"/>
      <c r="BM17" s="9"/>
    </row>
    <row r="18" spans="1:65" ht="15.6" thickTop="1" thickBot="1" x14ac:dyDescent="0.35">
      <c r="A18" s="26"/>
      <c r="B18" s="15">
        <v>2018</v>
      </c>
      <c r="C18" s="15">
        <v>7266127</v>
      </c>
      <c r="D18" s="15">
        <v>827</v>
      </c>
      <c r="E18" s="16">
        <f t="shared" si="0"/>
        <v>11.381579209942242</v>
      </c>
      <c r="F18" s="17">
        <f t="shared" si="1"/>
        <v>2.4319961897156177</v>
      </c>
      <c r="G18" s="27"/>
      <c r="H18" s="19"/>
      <c r="I18" s="28"/>
      <c r="J18" s="28"/>
      <c r="K18" s="27"/>
      <c r="L18" s="15">
        <v>3667480</v>
      </c>
      <c r="M18" s="15">
        <v>530</v>
      </c>
      <c r="N18" s="16">
        <f t="shared" si="2"/>
        <v>14.451339884607414</v>
      </c>
      <c r="O18" s="17">
        <f t="shared" si="3"/>
        <v>2.6707871358380584</v>
      </c>
      <c r="P18" s="27"/>
      <c r="Q18" s="19"/>
      <c r="R18" s="28"/>
      <c r="S18" s="28"/>
      <c r="T18" s="27"/>
      <c r="U18" s="15">
        <v>3598647</v>
      </c>
      <c r="V18" s="15">
        <v>297</v>
      </c>
      <c r="W18" s="16">
        <f t="shared" si="4"/>
        <v>8.2531017907563591</v>
      </c>
      <c r="X18" s="17">
        <f t="shared" si="5"/>
        <v>2.1105891043229708</v>
      </c>
      <c r="Y18" s="27"/>
      <c r="Z18" s="19"/>
      <c r="AA18" s="28"/>
      <c r="AB18" s="28"/>
      <c r="AC18" s="29"/>
      <c r="AD18" s="22" t="s">
        <v>107</v>
      </c>
      <c r="AE18" s="12" t="s">
        <v>108</v>
      </c>
      <c r="AF18" s="23"/>
      <c r="AG18" s="24"/>
      <c r="AH18" s="22" t="s">
        <v>107</v>
      </c>
      <c r="AI18" s="12" t="s">
        <v>109</v>
      </c>
      <c r="AJ18" s="23"/>
      <c r="AK18" s="24"/>
      <c r="AL18" s="22" t="s">
        <v>107</v>
      </c>
      <c r="AM18" s="12" t="s">
        <v>110</v>
      </c>
      <c r="AN18" s="23"/>
      <c r="AO18" s="25"/>
      <c r="AP18" s="22" t="s">
        <v>107</v>
      </c>
      <c r="AQ18" s="12" t="s">
        <v>111</v>
      </c>
      <c r="AR18" s="23"/>
      <c r="AS18" s="24"/>
      <c r="AT18" s="9" t="s">
        <v>107</v>
      </c>
      <c r="AU18" s="9" t="s">
        <v>112</v>
      </c>
      <c r="AV18" s="9"/>
      <c r="AW18" s="9"/>
      <c r="AX18" s="9" t="s">
        <v>107</v>
      </c>
      <c r="AY18" s="9" t="s">
        <v>113</v>
      </c>
      <c r="AZ18" s="9"/>
      <c r="BA18" s="9"/>
      <c r="BB18" s="9" t="s">
        <v>107</v>
      </c>
      <c r="BC18" s="9" t="s">
        <v>114</v>
      </c>
      <c r="BD18" s="9"/>
      <c r="BE18" s="9"/>
      <c r="BF18" s="9" t="s">
        <v>107</v>
      </c>
      <c r="BG18" s="9" t="s">
        <v>115</v>
      </c>
      <c r="BH18" s="9"/>
      <c r="BI18" s="9"/>
      <c r="BJ18" s="9" t="s">
        <v>107</v>
      </c>
      <c r="BK18" s="9" t="s">
        <v>116</v>
      </c>
      <c r="BL18" s="9"/>
      <c r="BM18" s="9"/>
    </row>
    <row r="19" spans="1:65" ht="24.6" customHeight="1" thickTop="1" thickBot="1" x14ac:dyDescent="0.35">
      <c r="A19" s="26"/>
      <c r="B19" s="15">
        <v>2019</v>
      </c>
      <c r="C19" s="15">
        <v>7403723</v>
      </c>
      <c r="D19" s="15">
        <v>844</v>
      </c>
      <c r="E19" s="16">
        <f t="shared" si="0"/>
        <v>11.399670138928752</v>
      </c>
      <c r="F19" s="17">
        <f t="shared" si="1"/>
        <v>2.4335844198001308</v>
      </c>
      <c r="G19" s="27"/>
      <c r="H19" s="19"/>
      <c r="I19" s="28"/>
      <c r="J19" s="28"/>
      <c r="K19" s="27"/>
      <c r="L19" s="15">
        <v>3737295</v>
      </c>
      <c r="M19" s="15">
        <v>560</v>
      </c>
      <c r="N19" s="16">
        <f t="shared" si="2"/>
        <v>14.984099462311644</v>
      </c>
      <c r="O19" s="17">
        <f>LN(N19)</f>
        <v>2.7069896030209608</v>
      </c>
      <c r="P19" s="27"/>
      <c r="Q19" s="19"/>
      <c r="R19" s="28"/>
      <c r="S19" s="28"/>
      <c r="T19" s="27"/>
      <c r="U19" s="15">
        <v>3666428</v>
      </c>
      <c r="V19" s="15">
        <v>284</v>
      </c>
      <c r="W19" s="16">
        <f t="shared" si="4"/>
        <v>7.7459587369505147</v>
      </c>
      <c r="X19" s="17">
        <f t="shared" si="5"/>
        <v>2.0471712540644957</v>
      </c>
      <c r="Y19" s="27"/>
      <c r="Z19" s="19"/>
      <c r="AA19" s="28"/>
      <c r="AB19" s="28"/>
      <c r="AC19" s="29"/>
      <c r="AD19" s="22" t="s">
        <v>117</v>
      </c>
      <c r="AE19" s="12" t="s">
        <v>118</v>
      </c>
      <c r="AF19" s="23"/>
      <c r="AG19" s="24"/>
      <c r="AH19" s="22" t="s">
        <v>117</v>
      </c>
      <c r="AI19" s="12" t="s">
        <v>118</v>
      </c>
      <c r="AJ19" s="23"/>
      <c r="AK19" s="24"/>
      <c r="AL19" s="22" t="s">
        <v>117</v>
      </c>
      <c r="AM19" s="12" t="s">
        <v>118</v>
      </c>
      <c r="AN19" s="23"/>
      <c r="AO19" s="25"/>
      <c r="AP19" s="22" t="s">
        <v>117</v>
      </c>
      <c r="AQ19" s="12" t="s">
        <v>118</v>
      </c>
      <c r="AR19" s="23"/>
      <c r="AS19" s="24"/>
      <c r="AT19" s="9" t="s">
        <v>117</v>
      </c>
      <c r="AU19" s="9" t="s">
        <v>118</v>
      </c>
      <c r="AV19" s="9"/>
      <c r="AW19" s="9"/>
      <c r="AX19" s="9" t="s">
        <v>117</v>
      </c>
      <c r="AY19" s="9" t="s">
        <v>118</v>
      </c>
      <c r="AZ19" s="9"/>
      <c r="BA19" s="9"/>
      <c r="BB19" s="9" t="s">
        <v>117</v>
      </c>
      <c r="BC19" s="9" t="s">
        <v>118</v>
      </c>
      <c r="BD19" s="9"/>
      <c r="BE19" s="9"/>
      <c r="BF19" s="9" t="s">
        <v>117</v>
      </c>
      <c r="BG19" s="9" t="s">
        <v>118</v>
      </c>
      <c r="BH19" s="9"/>
      <c r="BI19" s="9"/>
      <c r="BJ19" s="9" t="s">
        <v>117</v>
      </c>
      <c r="BK19" s="9" t="s">
        <v>118</v>
      </c>
      <c r="BL19" s="9"/>
      <c r="BM19" s="9"/>
    </row>
    <row r="20" spans="1:65" ht="15.6" thickTop="1" thickBot="1" x14ac:dyDescent="0.35">
      <c r="A20" s="26"/>
      <c r="B20" s="15">
        <v>2020</v>
      </c>
      <c r="C20" s="15">
        <v>7541975</v>
      </c>
      <c r="D20" s="15">
        <v>862</v>
      </c>
      <c r="E20" s="16">
        <f t="shared" si="0"/>
        <v>11.429366976156777</v>
      </c>
      <c r="F20" s="17">
        <f t="shared" si="1"/>
        <v>2.436186093609594</v>
      </c>
      <c r="G20" s="27"/>
      <c r="H20" s="19"/>
      <c r="I20" s="28"/>
      <c r="J20" s="28"/>
      <c r="K20" s="27"/>
      <c r="L20" s="15">
        <v>3807771</v>
      </c>
      <c r="M20" s="15">
        <v>575</v>
      </c>
      <c r="N20" s="16">
        <f t="shared" si="2"/>
        <v>15.10069801991769</v>
      </c>
      <c r="O20" s="17">
        <f>LN(N20)</f>
        <v>2.714740969237083</v>
      </c>
      <c r="P20" s="27"/>
      <c r="Q20" s="19"/>
      <c r="R20" s="28"/>
      <c r="S20" s="28"/>
      <c r="T20" s="27"/>
      <c r="U20" s="15">
        <v>3734204</v>
      </c>
      <c r="V20" s="15">
        <v>287</v>
      </c>
      <c r="W20" s="16">
        <f t="shared" si="4"/>
        <v>7.6857075831957768</v>
      </c>
      <c r="X20" s="17">
        <f t="shared" si="5"/>
        <v>2.0393624460371464</v>
      </c>
      <c r="Y20" s="27"/>
      <c r="Z20" s="19"/>
      <c r="AA20" s="28"/>
      <c r="AB20" s="28"/>
      <c r="AC20" s="27"/>
      <c r="AD20" s="49"/>
      <c r="AE20" s="50"/>
      <c r="AF20" s="51"/>
      <c r="AG20" s="52"/>
      <c r="AH20" s="49"/>
      <c r="AI20" s="50"/>
      <c r="AJ20" s="51"/>
      <c r="AK20" s="52"/>
      <c r="AL20" s="49"/>
      <c r="AM20" s="50"/>
      <c r="AN20" s="51"/>
      <c r="AO20" s="52"/>
      <c r="AP20" s="53"/>
      <c r="AQ20" s="54"/>
      <c r="AR20" s="55"/>
      <c r="AS20" s="56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</row>
    <row r="21" spans="1:65" ht="15.6" thickTop="1" thickBot="1" x14ac:dyDescent="0.35">
      <c r="A21" s="30"/>
      <c r="B21" s="15">
        <v>2021</v>
      </c>
      <c r="C21" s="15">
        <v>7671648</v>
      </c>
      <c r="D21" s="15">
        <v>1035</v>
      </c>
      <c r="E21" s="16">
        <f t="shared" si="0"/>
        <v>13.491234217211218</v>
      </c>
      <c r="F21" s="17">
        <f t="shared" si="1"/>
        <v>2.6020401573030307</v>
      </c>
      <c r="G21" s="31"/>
      <c r="H21" s="19"/>
      <c r="I21" s="32"/>
      <c r="J21" s="32"/>
      <c r="K21" s="31"/>
      <c r="L21" s="15">
        <v>3874605</v>
      </c>
      <c r="M21" s="15">
        <v>674</v>
      </c>
      <c r="N21" s="16">
        <f t="shared" si="2"/>
        <v>17.3953215876199</v>
      </c>
      <c r="O21" s="17">
        <f t="shared" si="3"/>
        <v>2.8562012957925966</v>
      </c>
      <c r="P21" s="31"/>
      <c r="Q21" s="19"/>
      <c r="R21" s="32"/>
      <c r="S21" s="32"/>
      <c r="T21" s="31"/>
      <c r="U21" s="15">
        <v>3797043</v>
      </c>
      <c r="V21" s="15">
        <v>361</v>
      </c>
      <c r="W21" s="16">
        <f t="shared" si="4"/>
        <v>9.5073982570121007</v>
      </c>
      <c r="X21" s="17">
        <f t="shared" si="5"/>
        <v>2.252070259423244</v>
      </c>
      <c r="Y21" s="31"/>
      <c r="Z21" s="19"/>
      <c r="AA21" s="32"/>
      <c r="AB21" s="32"/>
      <c r="AC21" s="31"/>
      <c r="AD21" s="49"/>
      <c r="AE21" s="50"/>
      <c r="AF21" s="51"/>
      <c r="AG21" s="52"/>
      <c r="AH21" s="49"/>
      <c r="AI21" s="50"/>
      <c r="AJ21" s="51"/>
      <c r="AK21" s="52"/>
      <c r="AL21" s="49"/>
      <c r="AM21" s="50"/>
      <c r="AN21" s="51"/>
      <c r="AO21" s="52"/>
      <c r="AP21" s="49"/>
      <c r="AQ21" s="50"/>
      <c r="AR21" s="51"/>
      <c r="AS21" s="52"/>
    </row>
    <row r="23" spans="1:65" x14ac:dyDescent="0.3">
      <c r="G23" s="58"/>
      <c r="R23" s="58"/>
      <c r="T23" s="59"/>
      <c r="U23" s="59"/>
      <c r="V23" s="59"/>
      <c r="W23" s="59"/>
      <c r="X23" s="59"/>
      <c r="Y23" s="58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</row>
    <row r="24" spans="1:65" x14ac:dyDescent="0.3">
      <c r="A24" s="60"/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</row>
    <row r="25" spans="1:65" x14ac:dyDescent="0.3">
      <c r="A25" s="60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</row>
    <row r="26" spans="1:65" x14ac:dyDescent="0.3">
      <c r="A26" s="63"/>
      <c r="B26" s="60"/>
      <c r="C26" s="64"/>
      <c r="D26" s="50"/>
      <c r="E26" s="51"/>
      <c r="F26" s="65"/>
      <c r="G26" s="65"/>
      <c r="H26" s="50"/>
      <c r="I26" s="50"/>
      <c r="J26" s="63"/>
      <c r="K26" s="50"/>
      <c r="L26" s="51"/>
      <c r="M26" s="50"/>
      <c r="N26" s="63"/>
      <c r="O26" s="50"/>
      <c r="P26" s="50"/>
      <c r="Q26" s="51"/>
      <c r="R26" s="51"/>
      <c r="S26" s="50"/>
      <c r="T26" s="63"/>
      <c r="U26" s="50"/>
      <c r="V26" s="51"/>
      <c r="W26" s="50"/>
      <c r="X26" s="63"/>
      <c r="Y26" s="63"/>
      <c r="Z26" s="50"/>
      <c r="AA26" s="50"/>
      <c r="AB26" s="51"/>
      <c r="AC26" s="50"/>
      <c r="AD26" s="63"/>
      <c r="AE26" s="50"/>
      <c r="AF26" s="51"/>
      <c r="AG26" s="50"/>
      <c r="AH26" s="63"/>
      <c r="AI26" s="50"/>
      <c r="AJ26" s="51"/>
    </row>
    <row r="27" spans="1:65" x14ac:dyDescent="0.3">
      <c r="A27" s="63"/>
      <c r="B27" s="60"/>
      <c r="C27" s="63"/>
      <c r="D27" s="50"/>
      <c r="E27" s="51"/>
      <c r="F27" s="65"/>
      <c r="G27" s="65"/>
      <c r="H27" s="50"/>
      <c r="I27" s="50"/>
      <c r="J27" s="63"/>
      <c r="K27" s="50"/>
      <c r="L27" s="51"/>
      <c r="M27" s="50"/>
      <c r="N27" s="63"/>
      <c r="O27" s="50"/>
      <c r="P27" s="50"/>
      <c r="Q27" s="51"/>
      <c r="R27" s="51"/>
      <c r="S27" s="50"/>
      <c r="T27" s="63"/>
      <c r="U27" s="50"/>
      <c r="V27" s="51"/>
      <c r="W27" s="50"/>
      <c r="X27" s="63"/>
      <c r="Y27" s="63"/>
      <c r="Z27" s="50"/>
      <c r="AA27" s="50"/>
      <c r="AB27" s="51"/>
      <c r="AC27" s="50"/>
      <c r="AD27" s="63"/>
      <c r="AE27" s="50"/>
      <c r="AF27" s="51"/>
      <c r="AG27" s="50"/>
      <c r="AH27" s="63"/>
      <c r="AI27" s="50"/>
      <c r="AJ27" s="51"/>
    </row>
    <row r="28" spans="1:65" x14ac:dyDescent="0.3">
      <c r="AD28" s="63"/>
      <c r="AE28" s="50"/>
      <c r="AF28" s="51"/>
      <c r="AG28" s="50"/>
      <c r="AH28" s="63"/>
      <c r="AI28" s="50"/>
      <c r="AJ28" s="51"/>
    </row>
    <row r="29" spans="1:65" x14ac:dyDescent="0.3">
      <c r="AD29" s="63"/>
      <c r="AE29" s="50"/>
      <c r="AF29" s="51"/>
      <c r="AG29" s="50"/>
      <c r="AH29" s="63"/>
      <c r="AI29" s="50"/>
      <c r="AJ29" s="51"/>
    </row>
    <row r="30" spans="1:65" x14ac:dyDescent="0.3">
      <c r="AD30" s="63"/>
      <c r="AE30" s="50"/>
      <c r="AF30" s="51"/>
      <c r="AG30" s="50"/>
      <c r="AH30" s="63"/>
      <c r="AI30" s="50"/>
      <c r="AJ30" s="51"/>
    </row>
    <row r="31" spans="1:65" x14ac:dyDescent="0.3">
      <c r="AD31" s="63"/>
      <c r="AE31" s="50"/>
      <c r="AF31" s="51"/>
      <c r="AG31" s="50"/>
      <c r="AH31" s="63"/>
      <c r="AI31" s="50"/>
      <c r="AJ31" s="51"/>
    </row>
    <row r="32" spans="1:65" x14ac:dyDescent="0.3">
      <c r="AD32" s="63"/>
      <c r="AE32" s="50"/>
      <c r="AF32" s="51"/>
      <c r="AG32" s="50"/>
      <c r="AH32" s="63"/>
      <c r="AI32" s="50"/>
      <c r="AJ32" s="51"/>
    </row>
    <row r="33" spans="1:65" x14ac:dyDescent="0.3">
      <c r="AD33" s="63"/>
      <c r="AE33" s="50"/>
      <c r="AF33" s="51"/>
      <c r="AG33" s="50"/>
      <c r="AH33" s="63"/>
      <c r="AI33" s="50"/>
      <c r="AJ33" s="51"/>
    </row>
    <row r="34" spans="1:65" x14ac:dyDescent="0.3">
      <c r="AD34" s="63"/>
      <c r="AE34" s="50"/>
      <c r="AF34" s="51"/>
      <c r="AG34" s="50"/>
      <c r="AH34" s="63"/>
      <c r="AI34" s="50"/>
      <c r="AJ34" s="51"/>
    </row>
    <row r="35" spans="1:65" x14ac:dyDescent="0.3">
      <c r="AD35" s="63"/>
      <c r="AE35" s="50"/>
      <c r="AF35" s="51"/>
      <c r="AG35" s="50"/>
      <c r="AH35" s="63"/>
      <c r="AI35" s="50"/>
      <c r="AJ35" s="51"/>
    </row>
    <row r="36" spans="1:65" ht="15" thickBot="1" x14ac:dyDescent="0.35">
      <c r="A36" s="63"/>
      <c r="B36" s="60"/>
      <c r="C36" s="63"/>
      <c r="D36" s="50"/>
      <c r="E36" s="51"/>
      <c r="F36" s="65"/>
      <c r="G36" s="65"/>
      <c r="H36" s="50"/>
      <c r="I36" s="50"/>
      <c r="J36" s="63"/>
      <c r="K36" s="50"/>
      <c r="L36" s="51"/>
      <c r="M36" s="50"/>
      <c r="N36" s="63"/>
      <c r="O36" s="50"/>
      <c r="P36" s="50"/>
      <c r="Q36" s="51"/>
      <c r="R36" s="51"/>
      <c r="S36" s="50"/>
      <c r="T36" s="63"/>
      <c r="U36" s="50"/>
      <c r="V36" s="51"/>
      <c r="W36" s="50"/>
      <c r="X36" s="63"/>
      <c r="Y36" s="63"/>
      <c r="Z36" s="50"/>
      <c r="AA36" s="50"/>
      <c r="AB36" s="51"/>
      <c r="AC36" s="50"/>
      <c r="AD36" s="63"/>
      <c r="AE36" s="50"/>
      <c r="AF36" s="51"/>
      <c r="AG36" s="50"/>
      <c r="AH36" s="63"/>
      <c r="AI36" s="50"/>
      <c r="AJ36" s="51"/>
    </row>
    <row r="37" spans="1:65" ht="15" thickBot="1" x14ac:dyDescent="0.35">
      <c r="A37" s="66"/>
      <c r="B37" s="67" t="s">
        <v>119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9"/>
      <c r="AD37" s="63"/>
      <c r="AE37" s="50"/>
      <c r="AF37" s="51"/>
      <c r="AG37" s="50"/>
      <c r="AH37" s="63"/>
      <c r="AI37" s="50"/>
      <c r="AJ37" s="51"/>
    </row>
    <row r="38" spans="1:65" ht="15" thickBot="1" x14ac:dyDescent="0.35">
      <c r="A38" s="1" t="s">
        <v>0</v>
      </c>
      <c r="B38" s="2"/>
      <c r="C38" s="1" t="s">
        <v>120</v>
      </c>
      <c r="D38" s="3"/>
      <c r="E38" s="3"/>
      <c r="F38" s="3"/>
      <c r="G38" s="3"/>
      <c r="H38" s="3"/>
      <c r="I38" s="3"/>
      <c r="J38" s="3"/>
      <c r="K38" s="2"/>
      <c r="L38" s="1" t="s">
        <v>121</v>
      </c>
      <c r="M38" s="3"/>
      <c r="N38" s="3"/>
      <c r="O38" s="3"/>
      <c r="P38" s="3"/>
      <c r="Q38" s="3"/>
      <c r="R38" s="3"/>
      <c r="S38" s="3"/>
      <c r="T38" s="2"/>
      <c r="U38" s="1" t="s">
        <v>122</v>
      </c>
      <c r="V38" s="3"/>
      <c r="W38" s="3"/>
      <c r="X38" s="3"/>
      <c r="Y38" s="3"/>
      <c r="Z38" s="3"/>
      <c r="AA38" s="3"/>
      <c r="AB38" s="3"/>
      <c r="AC38" s="2"/>
      <c r="AD38" s="4" t="s">
        <v>123</v>
      </c>
      <c r="AE38" s="4"/>
      <c r="AF38" s="4"/>
      <c r="AG38" s="4"/>
      <c r="AH38" s="4" t="s">
        <v>124</v>
      </c>
      <c r="AI38" s="4"/>
      <c r="AJ38" s="4"/>
      <c r="AK38" s="4"/>
      <c r="AL38" s="4" t="s">
        <v>125</v>
      </c>
      <c r="AM38" s="4"/>
      <c r="AN38" s="4"/>
      <c r="AO38" s="4"/>
      <c r="AP38" s="4" t="s">
        <v>126</v>
      </c>
      <c r="AQ38" s="4"/>
      <c r="AR38" s="4"/>
      <c r="AS38" s="4"/>
      <c r="AT38" s="4" t="s">
        <v>127</v>
      </c>
      <c r="AU38" s="4"/>
      <c r="AV38" s="4"/>
      <c r="AW38" s="4"/>
      <c r="AX38" s="4" t="s">
        <v>128</v>
      </c>
      <c r="AY38" s="4"/>
      <c r="AZ38" s="4"/>
      <c r="BA38" s="4"/>
      <c r="BB38" s="4" t="s">
        <v>129</v>
      </c>
      <c r="BC38" s="4"/>
      <c r="BD38" s="4"/>
      <c r="BE38" s="4"/>
      <c r="BF38" s="4" t="s">
        <v>130</v>
      </c>
      <c r="BG38" s="4"/>
      <c r="BH38" s="4"/>
      <c r="BI38" s="4"/>
      <c r="BJ38" s="4" t="s">
        <v>131</v>
      </c>
      <c r="BK38" s="4"/>
      <c r="BL38" s="4"/>
      <c r="BM38" s="4"/>
    </row>
    <row r="39" spans="1:65" ht="19.8" thickBot="1" x14ac:dyDescent="0.35">
      <c r="A39" s="70" t="s">
        <v>13</v>
      </c>
      <c r="B39" s="71" t="s">
        <v>14</v>
      </c>
      <c r="C39" s="71" t="s">
        <v>24</v>
      </c>
      <c r="D39" s="71" t="s">
        <v>16</v>
      </c>
      <c r="E39" s="71" t="s">
        <v>17</v>
      </c>
      <c r="F39" s="71" t="s">
        <v>18</v>
      </c>
      <c r="G39" s="71" t="s">
        <v>19</v>
      </c>
      <c r="H39" s="71" t="s">
        <v>20</v>
      </c>
      <c r="I39" s="71" t="s">
        <v>132</v>
      </c>
      <c r="J39" s="71" t="s">
        <v>22</v>
      </c>
      <c r="K39" s="71" t="s">
        <v>23</v>
      </c>
      <c r="L39" s="71" t="s">
        <v>24</v>
      </c>
      <c r="M39" s="71" t="s">
        <v>16</v>
      </c>
      <c r="N39" s="71" t="s">
        <v>17</v>
      </c>
      <c r="O39" s="71" t="s">
        <v>18</v>
      </c>
      <c r="P39" s="71" t="s">
        <v>19</v>
      </c>
      <c r="Q39" s="71" t="s">
        <v>20</v>
      </c>
      <c r="R39" s="71" t="s">
        <v>132</v>
      </c>
      <c r="S39" s="71" t="s">
        <v>22</v>
      </c>
      <c r="T39" s="71" t="s">
        <v>23</v>
      </c>
      <c r="U39" s="71" t="s">
        <v>24</v>
      </c>
      <c r="V39" s="71" t="s">
        <v>16</v>
      </c>
      <c r="W39" s="71" t="s">
        <v>17</v>
      </c>
      <c r="X39" s="71" t="s">
        <v>18</v>
      </c>
      <c r="Y39" s="71" t="s">
        <v>19</v>
      </c>
      <c r="Z39" s="71" t="s">
        <v>20</v>
      </c>
      <c r="AA39" s="71" t="s">
        <v>133</v>
      </c>
      <c r="AB39" s="71" t="s">
        <v>133</v>
      </c>
      <c r="AC39" s="71" t="s">
        <v>23</v>
      </c>
      <c r="AD39" s="7" t="s">
        <v>25</v>
      </c>
      <c r="AE39" s="7" t="s">
        <v>26</v>
      </c>
      <c r="AF39" s="7" t="s">
        <v>27</v>
      </c>
      <c r="AG39" s="7" t="s">
        <v>28</v>
      </c>
      <c r="AH39" s="7" t="s">
        <v>25</v>
      </c>
      <c r="AI39" s="7" t="s">
        <v>26</v>
      </c>
      <c r="AJ39" s="7" t="s">
        <v>27</v>
      </c>
      <c r="AK39" s="7" t="s">
        <v>28</v>
      </c>
      <c r="AL39" s="7" t="s">
        <v>25</v>
      </c>
      <c r="AM39" s="7" t="s">
        <v>26</v>
      </c>
      <c r="AN39" s="7" t="s">
        <v>27</v>
      </c>
      <c r="AO39" s="8" t="s">
        <v>28</v>
      </c>
      <c r="AP39" s="7" t="s">
        <v>25</v>
      </c>
      <c r="AQ39" s="7" t="s">
        <v>26</v>
      </c>
      <c r="AR39" s="7" t="s">
        <v>27</v>
      </c>
      <c r="AS39" s="7" t="s">
        <v>28</v>
      </c>
      <c r="AT39" s="9" t="s">
        <v>25</v>
      </c>
      <c r="AU39" s="9" t="s">
        <v>26</v>
      </c>
      <c r="AV39" s="9" t="s">
        <v>27</v>
      </c>
      <c r="AW39" s="9" t="s">
        <v>28</v>
      </c>
      <c r="AX39" s="9" t="s">
        <v>25</v>
      </c>
      <c r="AY39" s="9" t="s">
        <v>26</v>
      </c>
      <c r="AZ39" s="9" t="s">
        <v>27</v>
      </c>
      <c r="BA39" s="9" t="s">
        <v>28</v>
      </c>
      <c r="BB39" s="9" t="s">
        <v>25</v>
      </c>
      <c r="BC39" s="9" t="s">
        <v>26</v>
      </c>
      <c r="BD39" s="9" t="s">
        <v>27</v>
      </c>
      <c r="BE39" s="9" t="s">
        <v>28</v>
      </c>
      <c r="BF39" s="9" t="s">
        <v>25</v>
      </c>
      <c r="BG39" s="9" t="s">
        <v>26</v>
      </c>
      <c r="BH39" s="9" t="s">
        <v>27</v>
      </c>
      <c r="BI39" s="9" t="s">
        <v>28</v>
      </c>
      <c r="BJ39" s="9" t="s">
        <v>25</v>
      </c>
      <c r="BK39" s="9" t="s">
        <v>26</v>
      </c>
      <c r="BL39" s="9" t="s">
        <v>27</v>
      </c>
      <c r="BM39" s="9" t="s">
        <v>28</v>
      </c>
    </row>
    <row r="40" spans="1:65" ht="15.6" thickTop="1" thickBot="1" x14ac:dyDescent="0.35">
      <c r="A40" s="14" t="s">
        <v>31</v>
      </c>
      <c r="B40" s="15">
        <v>2016</v>
      </c>
      <c r="C40" s="15">
        <v>454409</v>
      </c>
      <c r="D40" s="15">
        <v>30</v>
      </c>
      <c r="E40" s="16">
        <f>(D40/C40)*100000</f>
        <v>6.6019819149708736</v>
      </c>
      <c r="F40" s="17">
        <f>LN(E40)</f>
        <v>1.8873698941014199</v>
      </c>
      <c r="G40" s="18">
        <v>-1.66E-2</v>
      </c>
      <c r="H40" s="19">
        <f t="shared" ref="H40" si="12">(EXP(G40)-1)*100</f>
        <v>-1.6462979229253771</v>
      </c>
      <c r="I40" s="20">
        <f>(EXP(-0.168) - 1) * 100</f>
        <v>-15.464616531534126</v>
      </c>
      <c r="J40" s="20">
        <f>(EXP(0.135) - 1) * 100</f>
        <v>14.453678435131456</v>
      </c>
      <c r="K40" s="72">
        <v>0.77659999999999996</v>
      </c>
      <c r="L40" s="15">
        <v>243225</v>
      </c>
      <c r="M40" s="15">
        <v>149</v>
      </c>
      <c r="N40" s="16">
        <f>(M40/L40)*100000</f>
        <v>61.260150066810567</v>
      </c>
      <c r="O40" s="17">
        <f>LN(N40)</f>
        <v>4.1151295510720596</v>
      </c>
      <c r="P40" s="18">
        <v>-1.77E-2</v>
      </c>
      <c r="Q40" s="19">
        <f t="shared" ref="Q40" si="13">(EXP(P40)-1)*100</f>
        <v>-1.7544275130325304</v>
      </c>
      <c r="R40" s="20">
        <f>(EXP(-0.056) - 1) * 100</f>
        <v>-5.4460864109603708</v>
      </c>
      <c r="S40" s="20">
        <f>(EXP(0.022) - 1) * 100</f>
        <v>2.2243784470438177</v>
      </c>
      <c r="T40" s="72">
        <v>0.2732</v>
      </c>
      <c r="U40" s="15">
        <v>114384</v>
      </c>
      <c r="V40" s="15">
        <v>607</v>
      </c>
      <c r="W40" s="16">
        <f>(V40/U40)*100000</f>
        <v>530.6686249825151</v>
      </c>
      <c r="X40" s="17">
        <f>LN(W40)</f>
        <v>6.2741377680230936</v>
      </c>
      <c r="Y40" s="18">
        <v>3.1699999999999999E-2</v>
      </c>
      <c r="Z40" s="19">
        <f t="shared" ref="Z40" si="14">(EXP(Y40)-1)*100</f>
        <v>3.2207796512168541</v>
      </c>
      <c r="AA40" s="20">
        <f>(EXP(0.006) - 1) * 100</f>
        <v>0.60180360540649236</v>
      </c>
      <c r="AB40" s="20">
        <f>(EXP(0.058) - 1) * 100</f>
        <v>5.9714995710287599</v>
      </c>
      <c r="AC40" s="72">
        <v>2.7199999999999998E-2</v>
      </c>
      <c r="AD40" s="12" t="s">
        <v>29</v>
      </c>
      <c r="AE40" s="12">
        <v>1</v>
      </c>
      <c r="AF40" s="12">
        <v>4.7999999999999996E-3</v>
      </c>
      <c r="AG40" s="12">
        <v>4.7999999999999996E-3</v>
      </c>
      <c r="AH40" s="12" t="s">
        <v>29</v>
      </c>
      <c r="AI40" s="12">
        <v>1</v>
      </c>
      <c r="AJ40" s="12">
        <v>5.4999999999999997E-3</v>
      </c>
      <c r="AK40" s="12">
        <v>5.4999999999999997E-3</v>
      </c>
      <c r="AL40" s="12" t="s">
        <v>29</v>
      </c>
      <c r="AM40" s="12">
        <v>1</v>
      </c>
      <c r="AN40" s="12">
        <v>1.7600000000000001E-2</v>
      </c>
      <c r="AO40" s="13">
        <v>1.7600000000000001E-2</v>
      </c>
      <c r="AP40" s="12" t="s">
        <v>29</v>
      </c>
      <c r="AQ40" s="12">
        <v>1</v>
      </c>
      <c r="AR40" s="12">
        <v>2.9999999999999997E-4</v>
      </c>
      <c r="AS40" s="12">
        <v>2.9999999999999997E-4</v>
      </c>
      <c r="AT40" s="9" t="s">
        <v>29</v>
      </c>
      <c r="AU40" s="9">
        <v>1</v>
      </c>
      <c r="AV40" s="9">
        <v>8.6999999999999994E-3</v>
      </c>
      <c r="AW40" s="9">
        <v>8.6999999999999994E-3</v>
      </c>
      <c r="AX40" s="9" t="s">
        <v>29</v>
      </c>
      <c r="AY40" s="9">
        <v>1</v>
      </c>
      <c r="AZ40" s="9">
        <v>1.7000000000000001E-2</v>
      </c>
      <c r="BA40" s="9">
        <v>1.7000000000000001E-2</v>
      </c>
      <c r="BB40" s="9" t="s">
        <v>29</v>
      </c>
      <c r="BC40" s="9">
        <v>1</v>
      </c>
      <c r="BD40" s="9">
        <v>2.8799999999999999E-2</v>
      </c>
      <c r="BE40" s="9">
        <v>2.8799999999999999E-2</v>
      </c>
      <c r="BF40" s="9" t="s">
        <v>29</v>
      </c>
      <c r="BG40" s="9">
        <v>1</v>
      </c>
      <c r="BH40" s="9">
        <v>2E-3</v>
      </c>
      <c r="BI40" s="9">
        <v>2E-3</v>
      </c>
      <c r="BJ40" s="9" t="s">
        <v>29</v>
      </c>
      <c r="BK40" s="9">
        <v>1</v>
      </c>
      <c r="BL40" s="9">
        <v>5.8999999999999999E-3</v>
      </c>
      <c r="BM40" s="9">
        <v>5.8999999999999999E-3</v>
      </c>
    </row>
    <row r="41" spans="1:65" ht="15.6" thickTop="1" thickBot="1" x14ac:dyDescent="0.35">
      <c r="A41" s="26"/>
      <c r="B41" s="15">
        <v>2017</v>
      </c>
      <c r="C41" s="15">
        <v>473790</v>
      </c>
      <c r="D41" s="15">
        <v>20</v>
      </c>
      <c r="E41" s="16">
        <f t="shared" ref="E41:E57" si="15">(D41/C41)*100000</f>
        <v>4.2212794698072988</v>
      </c>
      <c r="F41" s="17">
        <f t="shared" ref="F41:F57" si="16">LN(E41)</f>
        <v>1.4401382739920094</v>
      </c>
      <c r="G41" s="27"/>
      <c r="H41" s="19"/>
      <c r="I41" s="28"/>
      <c r="J41" s="28"/>
      <c r="K41" s="73"/>
      <c r="L41" s="15">
        <v>253810</v>
      </c>
      <c r="M41" s="15">
        <v>162</v>
      </c>
      <c r="N41" s="16">
        <f t="shared" ref="N41:N57" si="17">(M41/L41)*100000</f>
        <v>63.827272369094992</v>
      </c>
      <c r="O41" s="17">
        <f t="shared" ref="O41:O57" si="18">LN(N41)</f>
        <v>4.1561805656131607</v>
      </c>
      <c r="P41" s="27"/>
      <c r="Q41" s="19"/>
      <c r="R41" s="28"/>
      <c r="S41" s="28"/>
      <c r="T41" s="73"/>
      <c r="U41" s="15">
        <v>119227</v>
      </c>
      <c r="V41" s="15">
        <v>693</v>
      </c>
      <c r="W41" s="16">
        <f t="shared" ref="W41:W57" si="19">(V41/U41)*100000</f>
        <v>581.24418126766579</v>
      </c>
      <c r="X41" s="17">
        <f t="shared" ref="X41:X57" si="20">LN(W41)</f>
        <v>6.3651709461291635</v>
      </c>
      <c r="Y41" s="27"/>
      <c r="Z41" s="19"/>
      <c r="AA41" s="28"/>
      <c r="AB41" s="28"/>
      <c r="AC41" s="73"/>
      <c r="AD41" s="22" t="s">
        <v>32</v>
      </c>
      <c r="AE41" s="12">
        <v>4</v>
      </c>
      <c r="AF41" s="23">
        <v>0.20849999999999999</v>
      </c>
      <c r="AG41" s="24">
        <v>5.21E-2</v>
      </c>
      <c r="AH41" s="22" t="s">
        <v>32</v>
      </c>
      <c r="AI41" s="12">
        <v>4</v>
      </c>
      <c r="AJ41" s="23">
        <v>1.3599999999999999E-2</v>
      </c>
      <c r="AK41" s="24">
        <v>3.3999999999999998E-3</v>
      </c>
      <c r="AL41" s="22" t="s">
        <v>32</v>
      </c>
      <c r="AM41" s="12">
        <v>4</v>
      </c>
      <c r="AN41" s="23">
        <v>6.1000000000000004E-3</v>
      </c>
      <c r="AO41" s="25">
        <v>1.5E-3</v>
      </c>
      <c r="AP41" s="22" t="s">
        <v>32</v>
      </c>
      <c r="AQ41" s="12">
        <v>4</v>
      </c>
      <c r="AR41" s="23">
        <v>0.1651</v>
      </c>
      <c r="AS41" s="24">
        <v>4.1300000000000003E-2</v>
      </c>
      <c r="AT41" s="9" t="s">
        <v>32</v>
      </c>
      <c r="AU41" s="9">
        <v>4</v>
      </c>
      <c r="AV41" s="9">
        <v>5.2999999999999999E-2</v>
      </c>
      <c r="AW41" s="9">
        <v>1.3299999999999999E-2</v>
      </c>
      <c r="AX41" s="9" t="s">
        <v>32</v>
      </c>
      <c r="AY41" s="9">
        <v>4</v>
      </c>
      <c r="AZ41" s="9">
        <v>1.34E-2</v>
      </c>
      <c r="BA41" s="9">
        <v>3.3E-3</v>
      </c>
      <c r="BB41" s="9" t="s">
        <v>32</v>
      </c>
      <c r="BC41" s="9">
        <v>4</v>
      </c>
      <c r="BD41" s="9">
        <v>0.24690000000000001</v>
      </c>
      <c r="BE41" s="9">
        <v>6.1699999999999998E-2</v>
      </c>
      <c r="BF41" s="9" t="s">
        <v>32</v>
      </c>
      <c r="BG41" s="9">
        <v>4</v>
      </c>
      <c r="BH41" s="9">
        <v>1.7100000000000001E-2</v>
      </c>
      <c r="BI41" s="9">
        <v>4.3E-3</v>
      </c>
      <c r="BJ41" s="9" t="s">
        <v>32</v>
      </c>
      <c r="BK41" s="9">
        <v>4</v>
      </c>
      <c r="BL41" s="9">
        <v>1.61E-2</v>
      </c>
      <c r="BM41" s="9">
        <v>4.0000000000000001E-3</v>
      </c>
    </row>
    <row r="42" spans="1:65" ht="15.6" thickTop="1" thickBot="1" x14ac:dyDescent="0.35">
      <c r="A42" s="26"/>
      <c r="B42" s="15">
        <v>2018</v>
      </c>
      <c r="C42" s="15">
        <v>493437</v>
      </c>
      <c r="D42" s="15">
        <v>32</v>
      </c>
      <c r="E42" s="16">
        <f t="shared" si="15"/>
        <v>6.4851237341342456</v>
      </c>
      <c r="F42" s="17">
        <f t="shared" si="16"/>
        <v>1.8695108976379267</v>
      </c>
      <c r="G42" s="27"/>
      <c r="H42" s="19"/>
      <c r="I42" s="28"/>
      <c r="J42" s="28"/>
      <c r="K42" s="73"/>
      <c r="L42" s="15">
        <v>265314</v>
      </c>
      <c r="M42" s="15">
        <v>146</v>
      </c>
      <c r="N42" s="16">
        <f t="shared" si="17"/>
        <v>55.029135288752201</v>
      </c>
      <c r="O42" s="17">
        <f t="shared" si="18"/>
        <v>4.0078627774964959</v>
      </c>
      <c r="P42" s="27"/>
      <c r="Q42" s="19"/>
      <c r="R42" s="28"/>
      <c r="S42" s="28"/>
      <c r="T42" s="73"/>
      <c r="U42" s="15">
        <v>124391</v>
      </c>
      <c r="V42" s="15">
        <v>741</v>
      </c>
      <c r="W42" s="16">
        <f t="shared" si="19"/>
        <v>595.70226141762669</v>
      </c>
      <c r="X42" s="17">
        <f t="shared" si="20"/>
        <v>6.38974098086317</v>
      </c>
      <c r="Y42" s="27"/>
      <c r="Z42" s="19"/>
      <c r="AA42" s="28"/>
      <c r="AB42" s="28"/>
      <c r="AC42" s="73"/>
      <c r="AD42" s="22" t="s">
        <v>35</v>
      </c>
      <c r="AE42" s="12">
        <v>5</v>
      </c>
      <c r="AF42" s="23">
        <v>0.21329999999999999</v>
      </c>
      <c r="AG42" s="24" t="s">
        <v>36</v>
      </c>
      <c r="AH42" s="22" t="s">
        <v>35</v>
      </c>
      <c r="AI42" s="12">
        <v>5</v>
      </c>
      <c r="AJ42" s="23">
        <v>1.9099999999999999E-2</v>
      </c>
      <c r="AK42" s="24" t="s">
        <v>36</v>
      </c>
      <c r="AL42" s="22" t="s">
        <v>35</v>
      </c>
      <c r="AM42" s="12">
        <v>5</v>
      </c>
      <c r="AN42" s="23">
        <v>2.3699999999999999E-2</v>
      </c>
      <c r="AO42" s="25" t="s">
        <v>36</v>
      </c>
      <c r="AP42" s="22" t="s">
        <v>35</v>
      </c>
      <c r="AQ42" s="12">
        <v>5</v>
      </c>
      <c r="AR42" s="23">
        <v>0.16539999999999999</v>
      </c>
      <c r="AS42" s="24" t="s">
        <v>36</v>
      </c>
      <c r="AT42" s="9" t="s">
        <v>35</v>
      </c>
      <c r="AU42" s="9">
        <v>5</v>
      </c>
      <c r="AV42" s="9">
        <v>6.1699999999999998E-2</v>
      </c>
      <c r="AW42" s="9" t="s">
        <v>36</v>
      </c>
      <c r="AX42" s="9" t="s">
        <v>35</v>
      </c>
      <c r="AY42" s="9">
        <v>5</v>
      </c>
      <c r="AZ42" s="9">
        <v>3.0300000000000001E-2</v>
      </c>
      <c r="BA42" s="9" t="s">
        <v>36</v>
      </c>
      <c r="BB42" s="9" t="s">
        <v>35</v>
      </c>
      <c r="BC42" s="9">
        <v>5</v>
      </c>
      <c r="BD42" s="9">
        <v>0.2757</v>
      </c>
      <c r="BE42" s="9" t="s">
        <v>36</v>
      </c>
      <c r="BF42" s="9" t="s">
        <v>35</v>
      </c>
      <c r="BG42" s="9">
        <v>5</v>
      </c>
      <c r="BH42" s="9">
        <v>1.9099999999999999E-2</v>
      </c>
      <c r="BI42" s="9" t="s">
        <v>36</v>
      </c>
      <c r="BJ42" s="9" t="s">
        <v>35</v>
      </c>
      <c r="BK42" s="9">
        <v>5</v>
      </c>
      <c r="BL42" s="9">
        <v>2.1899999999999999E-2</v>
      </c>
      <c r="BM42" s="9" t="s">
        <v>36</v>
      </c>
    </row>
    <row r="43" spans="1:65" ht="15.6" thickTop="1" thickBot="1" x14ac:dyDescent="0.35">
      <c r="A43" s="26"/>
      <c r="B43" s="15">
        <v>2019</v>
      </c>
      <c r="C43" s="15">
        <v>513346</v>
      </c>
      <c r="D43" s="15">
        <v>25</v>
      </c>
      <c r="E43" s="16">
        <f t="shared" si="15"/>
        <v>4.8700097010593248</v>
      </c>
      <c r="F43" s="17">
        <f t="shared" si="16"/>
        <v>1.5830959290964826</v>
      </c>
      <c r="G43" s="27"/>
      <c r="H43" s="19"/>
      <c r="I43" s="28"/>
      <c r="J43" s="28"/>
      <c r="K43" s="73"/>
      <c r="L43" s="15">
        <v>277852</v>
      </c>
      <c r="M43" s="15">
        <v>175</v>
      </c>
      <c r="N43" s="16">
        <f t="shared" si="17"/>
        <v>62.983170896736397</v>
      </c>
      <c r="O43" s="17">
        <f t="shared" si="18"/>
        <v>4.1428675620830955</v>
      </c>
      <c r="P43" s="27"/>
      <c r="Q43" s="19"/>
      <c r="R43" s="28"/>
      <c r="S43" s="28"/>
      <c r="T43" s="73"/>
      <c r="U43" s="15">
        <v>129971</v>
      </c>
      <c r="V43" s="15">
        <v>811</v>
      </c>
      <c r="W43" s="16">
        <f t="shared" si="19"/>
        <v>623.98535057820584</v>
      </c>
      <c r="X43" s="17">
        <f t="shared" si="20"/>
        <v>6.4361268914563565</v>
      </c>
      <c r="Y43" s="27"/>
      <c r="Z43" s="19"/>
      <c r="AA43" s="28"/>
      <c r="AB43" s="28"/>
      <c r="AC43" s="73"/>
      <c r="AD43" s="22"/>
      <c r="AE43" s="12"/>
      <c r="AF43" s="23"/>
      <c r="AG43" s="24"/>
      <c r="AH43" s="22"/>
      <c r="AI43" s="12"/>
      <c r="AJ43" s="23"/>
      <c r="AK43" s="24"/>
      <c r="AL43" s="22"/>
      <c r="AM43" s="12"/>
      <c r="AN43" s="23"/>
      <c r="AO43" s="25"/>
      <c r="AP43" s="22"/>
      <c r="AQ43" s="12"/>
      <c r="AR43" s="23"/>
      <c r="AS43" s="24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:65" ht="15.6" thickTop="1" thickBot="1" x14ac:dyDescent="0.35">
      <c r="A44" s="26"/>
      <c r="B44" s="15">
        <v>2020</v>
      </c>
      <c r="C44" s="15">
        <v>533017</v>
      </c>
      <c r="D44" s="15">
        <v>36</v>
      </c>
      <c r="E44" s="16">
        <f t="shared" si="15"/>
        <v>6.7540059697908328</v>
      </c>
      <c r="F44" s="17">
        <f t="shared" si="16"/>
        <v>1.9101358058526556</v>
      </c>
      <c r="G44" s="27"/>
      <c r="H44" s="19"/>
      <c r="I44" s="28"/>
      <c r="J44" s="28"/>
      <c r="K44" s="73"/>
      <c r="L44" s="15">
        <v>291204</v>
      </c>
      <c r="M44" s="15">
        <v>169</v>
      </c>
      <c r="N44" s="16">
        <f t="shared" si="17"/>
        <v>58.034917102787055</v>
      </c>
      <c r="O44" s="17">
        <f t="shared" si="18"/>
        <v>4.0610448484192396</v>
      </c>
      <c r="P44" s="27"/>
      <c r="Q44" s="19"/>
      <c r="R44" s="28"/>
      <c r="S44" s="28"/>
      <c r="T44" s="73"/>
      <c r="U44" s="15">
        <v>135607</v>
      </c>
      <c r="V44" s="15">
        <v>809</v>
      </c>
      <c r="W44" s="16">
        <f t="shared" si="19"/>
        <v>596.57687287529404</v>
      </c>
      <c r="X44" s="17">
        <f t="shared" si="20"/>
        <v>6.3912081064538002</v>
      </c>
      <c r="Y44" s="27"/>
      <c r="Z44" s="19"/>
      <c r="AA44" s="28"/>
      <c r="AB44" s="28"/>
      <c r="AC44" s="73"/>
      <c r="AD44" s="22" t="s">
        <v>38</v>
      </c>
      <c r="AE44" s="12">
        <v>9.2200000000000004E-2</v>
      </c>
      <c r="AF44" s="23" t="s">
        <v>134</v>
      </c>
      <c r="AG44" s="24"/>
      <c r="AH44" s="22" t="s">
        <v>38</v>
      </c>
      <c r="AI44" s="12">
        <v>1.6102000000000001</v>
      </c>
      <c r="AJ44" s="23" t="s">
        <v>135</v>
      </c>
      <c r="AK44" s="24"/>
      <c r="AL44" s="22" t="s">
        <v>38</v>
      </c>
      <c r="AM44" s="12">
        <v>11.5763</v>
      </c>
      <c r="AN44" s="23" t="s">
        <v>136</v>
      </c>
      <c r="AO44" s="25"/>
      <c r="AP44" s="22" t="s">
        <v>38</v>
      </c>
      <c r="AQ44" s="12">
        <v>6.7999999999999996E-3</v>
      </c>
      <c r="AR44" s="23" t="s">
        <v>137</v>
      </c>
      <c r="AS44" s="24"/>
      <c r="AT44" s="9" t="s">
        <v>38</v>
      </c>
      <c r="AU44" s="9">
        <v>0.65539999999999998</v>
      </c>
      <c r="AV44" s="9" t="s">
        <v>138</v>
      </c>
      <c r="AW44" s="9"/>
      <c r="AX44" s="9" t="s">
        <v>38</v>
      </c>
      <c r="AY44" s="9">
        <v>5.0751999999999997</v>
      </c>
      <c r="AZ44" s="9" t="s">
        <v>139</v>
      </c>
      <c r="BA44" s="9"/>
      <c r="BB44" s="9" t="s">
        <v>38</v>
      </c>
      <c r="BC44" s="9">
        <v>0.46660000000000001</v>
      </c>
      <c r="BD44" s="9" t="s">
        <v>140</v>
      </c>
      <c r="BE44" s="9"/>
      <c r="BF44" s="9" t="s">
        <v>38</v>
      </c>
      <c r="BG44" s="9">
        <v>0.45669999999999999</v>
      </c>
      <c r="BH44" s="9" t="s">
        <v>141</v>
      </c>
      <c r="BI44" s="9"/>
      <c r="BJ44" s="9" t="s">
        <v>38</v>
      </c>
      <c r="BK44" s="9">
        <v>1.4554</v>
      </c>
      <c r="BL44" s="9" t="s">
        <v>142</v>
      </c>
      <c r="BM44" s="9"/>
    </row>
    <row r="45" spans="1:65" ht="15.6" thickTop="1" thickBot="1" x14ac:dyDescent="0.35">
      <c r="A45" s="30"/>
      <c r="B45" s="15">
        <v>2021</v>
      </c>
      <c r="C45" s="15">
        <v>550953</v>
      </c>
      <c r="D45" s="15">
        <v>26</v>
      </c>
      <c r="E45" s="16">
        <f t="shared" si="15"/>
        <v>4.71909582124065</v>
      </c>
      <c r="F45" s="17">
        <f t="shared" si="16"/>
        <v>1.5516172179503998</v>
      </c>
      <c r="G45" s="31"/>
      <c r="H45" s="19"/>
      <c r="I45" s="32"/>
      <c r="J45" s="32"/>
      <c r="K45" s="74"/>
      <c r="L45" s="15">
        <v>304263</v>
      </c>
      <c r="M45" s="15">
        <v>171</v>
      </c>
      <c r="N45" s="16">
        <f t="shared" si="17"/>
        <v>56.201378412754764</v>
      </c>
      <c r="O45" s="17">
        <f t="shared" si="18"/>
        <v>4.0289412835162102</v>
      </c>
      <c r="P45" s="31"/>
      <c r="Q45" s="19"/>
      <c r="R45" s="32"/>
      <c r="S45" s="32"/>
      <c r="T45" s="74"/>
      <c r="U45" s="15">
        <v>139890</v>
      </c>
      <c r="V45" s="15">
        <v>902</v>
      </c>
      <c r="W45" s="16">
        <f t="shared" si="19"/>
        <v>644.7923368360855</v>
      </c>
      <c r="X45" s="17">
        <f t="shared" si="20"/>
        <v>6.4689283065623755</v>
      </c>
      <c r="Y45" s="31"/>
      <c r="Z45" s="19"/>
      <c r="AA45" s="32"/>
      <c r="AB45" s="32"/>
      <c r="AC45" s="74"/>
      <c r="AD45" s="22" t="s">
        <v>49</v>
      </c>
      <c r="AE45" s="12" t="s">
        <v>50</v>
      </c>
      <c r="AF45" s="23"/>
      <c r="AG45" s="24"/>
      <c r="AH45" s="22" t="s">
        <v>49</v>
      </c>
      <c r="AI45" s="12" t="s">
        <v>50</v>
      </c>
      <c r="AJ45" s="23"/>
      <c r="AK45" s="24"/>
      <c r="AL45" s="22" t="s">
        <v>49</v>
      </c>
      <c r="AM45" s="12" t="s">
        <v>50</v>
      </c>
      <c r="AN45" s="23"/>
      <c r="AO45" s="25"/>
      <c r="AP45" s="22" t="s">
        <v>49</v>
      </c>
      <c r="AQ45" s="12" t="s">
        <v>50</v>
      </c>
      <c r="AR45" s="23"/>
      <c r="AS45" s="24"/>
      <c r="AT45" s="9" t="s">
        <v>49</v>
      </c>
      <c r="AU45" s="9" t="s">
        <v>50</v>
      </c>
      <c r="AV45" s="9"/>
      <c r="AW45" s="9"/>
      <c r="AX45" s="9" t="s">
        <v>49</v>
      </c>
      <c r="AY45" s="9" t="s">
        <v>50</v>
      </c>
      <c r="AZ45" s="9"/>
      <c r="BA45" s="9"/>
      <c r="BB45" s="9" t="s">
        <v>49</v>
      </c>
      <c r="BC45" s="9" t="s">
        <v>50</v>
      </c>
      <c r="BD45" s="9"/>
      <c r="BE45" s="9"/>
      <c r="BF45" s="9" t="s">
        <v>49</v>
      </c>
      <c r="BG45" s="9" t="s">
        <v>50</v>
      </c>
      <c r="BH45" s="9"/>
      <c r="BI45" s="9"/>
      <c r="BJ45" s="9" t="s">
        <v>49</v>
      </c>
      <c r="BK45" s="9" t="s">
        <v>50</v>
      </c>
      <c r="BL45" s="9"/>
      <c r="BM45" s="9"/>
    </row>
    <row r="46" spans="1:65" ht="15.6" thickTop="1" thickBot="1" x14ac:dyDescent="0.35">
      <c r="A46" s="34" t="s">
        <v>53</v>
      </c>
      <c r="B46" s="35">
        <v>2016</v>
      </c>
      <c r="C46" s="35">
        <v>545026</v>
      </c>
      <c r="D46" s="35">
        <v>44</v>
      </c>
      <c r="E46" s="16">
        <f t="shared" si="15"/>
        <v>8.0730093610213096</v>
      </c>
      <c r="F46" s="17">
        <f t="shared" si="16"/>
        <v>2.0885263199590054</v>
      </c>
      <c r="G46" s="18">
        <v>4.0000000000000001E-3</v>
      </c>
      <c r="H46" s="19">
        <f t="shared" ref="H46:H52" si="21">(EXP(G46)-1)*100</f>
        <v>0.40080106773419111</v>
      </c>
      <c r="I46" s="20">
        <f>(EXP(-0.131) - 1) * 100</f>
        <v>-12.278222560895646</v>
      </c>
      <c r="J46" s="20">
        <f>(EXP(0.139) - 1) * 100</f>
        <v>14.91241000036052</v>
      </c>
      <c r="K46" s="75">
        <v>0.93830000000000002</v>
      </c>
      <c r="L46" s="35">
        <v>307895</v>
      </c>
      <c r="M46" s="35">
        <v>196</v>
      </c>
      <c r="N46" s="16">
        <f t="shared" si="17"/>
        <v>63.658065249516874</v>
      </c>
      <c r="O46" s="17">
        <f t="shared" si="18"/>
        <v>4.1535260294586571</v>
      </c>
      <c r="P46" s="18">
        <v>2.23E-2</v>
      </c>
      <c r="Q46" s="19">
        <f t="shared" ref="Q46:Q52" si="22">(EXP(P46)-1)*100</f>
        <v>2.2550503611350026</v>
      </c>
      <c r="R46" s="20">
        <f>(EXP(-0.054) - 1) * 100</f>
        <v>-5.2567893498201679</v>
      </c>
      <c r="S46" s="20">
        <f>(EXP(0.099) - 1) * 100</f>
        <v>10.406629955888192</v>
      </c>
      <c r="T46" s="75">
        <v>0.46360000000000001</v>
      </c>
      <c r="U46" s="35">
        <v>166404</v>
      </c>
      <c r="V46" s="35">
        <v>917</v>
      </c>
      <c r="W46" s="16">
        <f t="shared" si="19"/>
        <v>551.06848393067469</v>
      </c>
      <c r="X46" s="17">
        <f t="shared" si="20"/>
        <v>6.3118590916848287</v>
      </c>
      <c r="Y46" s="18">
        <v>3.1099999999999999E-2</v>
      </c>
      <c r="Z46" s="19">
        <f t="shared" ref="Z46:Z52" si="23">(EXP(Y46)-1)*100</f>
        <v>3.1588657594510794</v>
      </c>
      <c r="AA46" s="20">
        <f>(EXP(-0.007) - 1) * 100</f>
        <v>-0.69755570667648925</v>
      </c>
      <c r="AB46" s="20">
        <f>(EXP(0.07) - 1) * 100</f>
        <v>7.2508181254216542</v>
      </c>
      <c r="AC46" s="75">
        <v>8.7300000000000003E-2</v>
      </c>
      <c r="AD46" s="22" t="s">
        <v>51</v>
      </c>
      <c r="AE46" s="12" t="s">
        <v>52</v>
      </c>
      <c r="AF46" s="23"/>
      <c r="AG46" s="24"/>
      <c r="AH46" s="22" t="s">
        <v>51</v>
      </c>
      <c r="AI46" s="12" t="s">
        <v>52</v>
      </c>
      <c r="AJ46" s="23"/>
      <c r="AK46" s="24"/>
      <c r="AL46" s="22" t="s">
        <v>51</v>
      </c>
      <c r="AM46" s="12" t="s">
        <v>52</v>
      </c>
      <c r="AN46" s="23"/>
      <c r="AO46" s="25"/>
      <c r="AP46" s="22" t="s">
        <v>51</v>
      </c>
      <c r="AQ46" s="12" t="s">
        <v>52</v>
      </c>
      <c r="AR46" s="23"/>
      <c r="AS46" s="24"/>
      <c r="AT46" s="9" t="s">
        <v>51</v>
      </c>
      <c r="AU46" s="9" t="s">
        <v>52</v>
      </c>
      <c r="AV46" s="9"/>
      <c r="AW46" s="9"/>
      <c r="AX46" s="9" t="s">
        <v>51</v>
      </c>
      <c r="AY46" s="9" t="s">
        <v>52</v>
      </c>
      <c r="AZ46" s="9"/>
      <c r="BA46" s="9"/>
      <c r="BB46" s="9" t="s">
        <v>51</v>
      </c>
      <c r="BC46" s="9" t="s">
        <v>52</v>
      </c>
      <c r="BD46" s="9"/>
      <c r="BE46" s="9"/>
      <c r="BF46" s="9" t="s">
        <v>51</v>
      </c>
      <c r="BG46" s="9" t="s">
        <v>52</v>
      </c>
      <c r="BH46" s="9"/>
      <c r="BI46" s="9"/>
      <c r="BJ46" s="9" t="s">
        <v>51</v>
      </c>
      <c r="BK46" s="9" t="s">
        <v>52</v>
      </c>
      <c r="BL46" s="9"/>
      <c r="BM46" s="9"/>
    </row>
    <row r="47" spans="1:65" ht="15.6" thickTop="1" thickBot="1" x14ac:dyDescent="0.35">
      <c r="A47" s="39"/>
      <c r="B47" s="35">
        <v>2017</v>
      </c>
      <c r="C47" s="35">
        <v>563499</v>
      </c>
      <c r="D47" s="35">
        <v>31</v>
      </c>
      <c r="E47" s="16">
        <f t="shared" si="15"/>
        <v>5.5013407299746762</v>
      </c>
      <c r="F47" s="17">
        <f t="shared" si="16"/>
        <v>1.7049918316178738</v>
      </c>
      <c r="G47" s="27"/>
      <c r="H47" s="19"/>
      <c r="I47" s="28"/>
      <c r="J47" s="28"/>
      <c r="K47" s="76"/>
      <c r="L47" s="35">
        <v>319105</v>
      </c>
      <c r="M47" s="35">
        <v>215</v>
      </c>
      <c r="N47" s="16">
        <f t="shared" si="17"/>
        <v>67.375942088027458</v>
      </c>
      <c r="O47" s="17">
        <f t="shared" si="18"/>
        <v>4.2102880118850576</v>
      </c>
      <c r="P47" s="27"/>
      <c r="Q47" s="19"/>
      <c r="R47" s="28"/>
      <c r="S47" s="28"/>
      <c r="T47" s="76"/>
      <c r="U47" s="35">
        <v>171497</v>
      </c>
      <c r="V47" s="35">
        <v>986</v>
      </c>
      <c r="W47" s="16">
        <f t="shared" si="19"/>
        <v>574.93717091261078</v>
      </c>
      <c r="X47" s="17">
        <f t="shared" si="20"/>
        <v>6.3542607668491016</v>
      </c>
      <c r="Y47" s="27"/>
      <c r="Z47" s="19"/>
      <c r="AA47" s="28"/>
      <c r="AB47" s="28"/>
      <c r="AC47" s="76"/>
      <c r="AD47" s="22" t="s">
        <v>54</v>
      </c>
      <c r="AE47" s="12">
        <v>3.5</v>
      </c>
      <c r="AF47" s="23"/>
      <c r="AG47" s="24"/>
      <c r="AH47" s="22" t="s">
        <v>54</v>
      </c>
      <c r="AI47" s="12">
        <v>3.5</v>
      </c>
      <c r="AJ47" s="23"/>
      <c r="AK47" s="24"/>
      <c r="AL47" s="22" t="s">
        <v>54</v>
      </c>
      <c r="AM47" s="12">
        <v>3.5</v>
      </c>
      <c r="AN47" s="23"/>
      <c r="AO47" s="25"/>
      <c r="AP47" s="22" t="s">
        <v>54</v>
      </c>
      <c r="AQ47" s="12">
        <v>3.5</v>
      </c>
      <c r="AR47" s="23"/>
      <c r="AS47" s="24"/>
      <c r="AT47" s="9" t="s">
        <v>54</v>
      </c>
      <c r="AU47" s="9">
        <v>3.5</v>
      </c>
      <c r="AV47" s="9"/>
      <c r="AW47" s="9"/>
      <c r="AX47" s="9" t="s">
        <v>54</v>
      </c>
      <c r="AY47" s="9">
        <v>3.5</v>
      </c>
      <c r="AZ47" s="9"/>
      <c r="BA47" s="9"/>
      <c r="BB47" s="9" t="s">
        <v>54</v>
      </c>
      <c r="BC47" s="9">
        <v>3.5</v>
      </c>
      <c r="BD47" s="9"/>
      <c r="BE47" s="9"/>
      <c r="BF47" s="9" t="s">
        <v>54</v>
      </c>
      <c r="BG47" s="9">
        <v>3.5</v>
      </c>
      <c r="BH47" s="9"/>
      <c r="BI47" s="9"/>
      <c r="BJ47" s="9" t="s">
        <v>54</v>
      </c>
      <c r="BK47" s="9">
        <v>3.5</v>
      </c>
      <c r="BL47" s="9"/>
      <c r="BM47" s="9"/>
    </row>
    <row r="48" spans="1:65" ht="15.6" thickTop="1" thickBot="1" x14ac:dyDescent="0.35">
      <c r="A48" s="39"/>
      <c r="B48" s="35">
        <v>2018</v>
      </c>
      <c r="C48" s="35">
        <v>581459</v>
      </c>
      <c r="D48" s="35">
        <v>42</v>
      </c>
      <c r="E48" s="16">
        <f t="shared" si="15"/>
        <v>7.2232092030564496</v>
      </c>
      <c r="F48" s="17">
        <f t="shared" si="16"/>
        <v>1.9772993421071821</v>
      </c>
      <c r="G48" s="27"/>
      <c r="H48" s="19"/>
      <c r="I48" s="28"/>
      <c r="J48" s="28"/>
      <c r="K48" s="76"/>
      <c r="L48" s="35">
        <v>331470</v>
      </c>
      <c r="M48" s="35">
        <v>278</v>
      </c>
      <c r="N48" s="16">
        <f t="shared" si="17"/>
        <v>83.868826741484909</v>
      </c>
      <c r="O48" s="17">
        <f t="shared" si="18"/>
        <v>4.4292539918855356</v>
      </c>
      <c r="P48" s="27"/>
      <c r="Q48" s="19"/>
      <c r="R48" s="28"/>
      <c r="S48" s="28"/>
      <c r="T48" s="76"/>
      <c r="U48" s="35">
        <v>176677</v>
      </c>
      <c r="V48" s="35">
        <v>1150</v>
      </c>
      <c r="W48" s="16">
        <f t="shared" si="19"/>
        <v>650.90532440555364</v>
      </c>
      <c r="X48" s="17">
        <f t="shared" si="20"/>
        <v>6.4783642006117983</v>
      </c>
      <c r="Y48" s="27"/>
      <c r="Z48" s="19"/>
      <c r="AA48" s="28"/>
      <c r="AB48" s="28"/>
      <c r="AC48" s="76"/>
      <c r="AD48" s="22" t="s">
        <v>56</v>
      </c>
      <c r="AE48" s="12">
        <v>1.7067000000000001</v>
      </c>
      <c r="AF48" s="23"/>
      <c r="AG48" s="24"/>
      <c r="AH48" s="22" t="s">
        <v>56</v>
      </c>
      <c r="AI48" s="12">
        <v>4.0867000000000004</v>
      </c>
      <c r="AJ48" s="23"/>
      <c r="AK48" s="24"/>
      <c r="AL48" s="22" t="s">
        <v>56</v>
      </c>
      <c r="AM48" s="12">
        <v>6.3883000000000001</v>
      </c>
      <c r="AN48" s="23"/>
      <c r="AO48" s="25"/>
      <c r="AP48" s="22" t="s">
        <v>56</v>
      </c>
      <c r="AQ48" s="12">
        <v>1.93</v>
      </c>
      <c r="AR48" s="23"/>
      <c r="AS48" s="24"/>
      <c r="AT48" s="9" t="s">
        <v>56</v>
      </c>
      <c r="AU48" s="9">
        <v>4.2667000000000002</v>
      </c>
      <c r="AV48" s="9"/>
      <c r="AW48" s="9"/>
      <c r="AX48" s="9" t="s">
        <v>56</v>
      </c>
      <c r="AY48" s="9">
        <v>6.415</v>
      </c>
      <c r="AZ48" s="9"/>
      <c r="BA48" s="9"/>
      <c r="BB48" s="9" t="s">
        <v>56</v>
      </c>
      <c r="BC48" s="9">
        <v>1.6133</v>
      </c>
      <c r="BD48" s="9"/>
      <c r="BE48" s="9"/>
      <c r="BF48" s="9" t="s">
        <v>56</v>
      </c>
      <c r="BG48" s="9">
        <v>4.1216999999999997</v>
      </c>
      <c r="BH48" s="9"/>
      <c r="BI48" s="9"/>
      <c r="BJ48" s="9" t="s">
        <v>56</v>
      </c>
      <c r="BK48" s="9">
        <v>6.3266999999999998</v>
      </c>
      <c r="BL48" s="9"/>
      <c r="BM48" s="9"/>
    </row>
    <row r="49" spans="1:65" ht="15.6" thickTop="1" thickBot="1" x14ac:dyDescent="0.35">
      <c r="A49" s="39"/>
      <c r="B49" s="35">
        <v>2019</v>
      </c>
      <c r="C49" s="35">
        <v>598947</v>
      </c>
      <c r="D49" s="35">
        <v>44</v>
      </c>
      <c r="E49" s="16">
        <f t="shared" si="15"/>
        <v>7.3462259598929451</v>
      </c>
      <c r="F49" s="17">
        <f t="shared" si="16"/>
        <v>1.9941867065068957</v>
      </c>
      <c r="G49" s="27"/>
      <c r="H49" s="19"/>
      <c r="I49" s="28"/>
      <c r="J49" s="28"/>
      <c r="K49" s="76"/>
      <c r="L49" s="35">
        <v>344882</v>
      </c>
      <c r="M49" s="35">
        <v>248</v>
      </c>
      <c r="N49" s="16">
        <f t="shared" si="17"/>
        <v>71.908652814585864</v>
      </c>
      <c r="O49" s="17">
        <f t="shared" si="18"/>
        <v>4.2753966026124752</v>
      </c>
      <c r="P49" s="27"/>
      <c r="Q49" s="19"/>
      <c r="R49" s="28"/>
      <c r="S49" s="28"/>
      <c r="T49" s="76"/>
      <c r="U49" s="35">
        <v>181973</v>
      </c>
      <c r="V49" s="35">
        <v>1155</v>
      </c>
      <c r="W49" s="16">
        <f t="shared" si="19"/>
        <v>634.70954482258355</v>
      </c>
      <c r="X49" s="17">
        <f t="shared" si="20"/>
        <v>6.4531674845207361</v>
      </c>
      <c r="Y49" s="27"/>
      <c r="Z49" s="19"/>
      <c r="AA49" s="28"/>
      <c r="AB49" s="28"/>
      <c r="AC49" s="76"/>
      <c r="AD49" s="22" t="s">
        <v>58</v>
      </c>
      <c r="AE49" s="22">
        <v>2.2499999999999999E-2</v>
      </c>
      <c r="AF49" s="23"/>
      <c r="AG49" s="24"/>
      <c r="AH49" s="22" t="s">
        <v>58</v>
      </c>
      <c r="AI49" s="12">
        <v>0.28699999999999998</v>
      </c>
      <c r="AJ49" s="23"/>
      <c r="AK49" s="24"/>
      <c r="AL49" s="22" t="s">
        <v>58</v>
      </c>
      <c r="AM49" s="12">
        <v>0.74319999999999997</v>
      </c>
      <c r="AN49" s="23"/>
      <c r="AO49" s="25"/>
      <c r="AP49" s="22" t="s">
        <v>58</v>
      </c>
      <c r="AQ49" s="12">
        <v>1.6999999999999999E-3</v>
      </c>
      <c r="AR49" s="23"/>
      <c r="AS49" s="24"/>
      <c r="AT49" s="9" t="s">
        <v>58</v>
      </c>
      <c r="AU49" s="9">
        <v>0.14080000000000001</v>
      </c>
      <c r="AV49" s="9"/>
      <c r="AW49" s="9"/>
      <c r="AX49" s="9" t="s">
        <v>58</v>
      </c>
      <c r="AY49" s="9">
        <v>0.55920000000000003</v>
      </c>
      <c r="AZ49" s="9"/>
      <c r="BA49" s="9"/>
      <c r="BB49" s="9" t="s">
        <v>58</v>
      </c>
      <c r="BC49" s="9">
        <v>0.1045</v>
      </c>
      <c r="BD49" s="9"/>
      <c r="BE49" s="9"/>
      <c r="BF49" s="9" t="s">
        <v>58</v>
      </c>
      <c r="BG49" s="9">
        <v>0.10249999999999999</v>
      </c>
      <c r="BH49" s="9"/>
      <c r="BI49" s="9"/>
      <c r="BJ49" s="9" t="s">
        <v>58</v>
      </c>
      <c r="BK49" s="9">
        <v>0.26679999999999998</v>
      </c>
      <c r="BL49" s="9"/>
      <c r="BM49" s="9"/>
    </row>
    <row r="50" spans="1:65" ht="15.6" thickTop="1" thickBot="1" x14ac:dyDescent="0.35">
      <c r="A50" s="39"/>
      <c r="B50" s="35">
        <v>2020</v>
      </c>
      <c r="C50" s="35">
        <v>615919</v>
      </c>
      <c r="D50" s="35">
        <v>34</v>
      </c>
      <c r="E50" s="16">
        <f t="shared" si="15"/>
        <v>5.5202063907754111</v>
      </c>
      <c r="F50" s="17">
        <f t="shared" si="16"/>
        <v>1.7084152492232556</v>
      </c>
      <c r="G50" s="27"/>
      <c r="H50" s="19"/>
      <c r="I50" s="28"/>
      <c r="J50" s="28"/>
      <c r="K50" s="76"/>
      <c r="L50" s="35">
        <v>359196</v>
      </c>
      <c r="M50" s="35">
        <v>232</v>
      </c>
      <c r="N50" s="16">
        <f t="shared" si="17"/>
        <v>64.588692524415634</v>
      </c>
      <c r="O50" s="17">
        <f t="shared" si="18"/>
        <v>4.1680393571458216</v>
      </c>
      <c r="P50" s="27"/>
      <c r="Q50" s="19"/>
      <c r="R50" s="28"/>
      <c r="S50" s="28"/>
      <c r="T50" s="76"/>
      <c r="U50" s="35">
        <v>187369</v>
      </c>
      <c r="V50" s="35">
        <v>1118</v>
      </c>
      <c r="W50" s="16">
        <f t="shared" si="19"/>
        <v>596.68354957330189</v>
      </c>
      <c r="X50" s="17">
        <f t="shared" si="20"/>
        <v>6.3913869051406333</v>
      </c>
      <c r="Y50" s="27"/>
      <c r="Z50" s="19"/>
      <c r="AA50" s="28"/>
      <c r="AB50" s="28"/>
      <c r="AC50" s="76"/>
      <c r="AD50" s="22" t="s">
        <v>60</v>
      </c>
      <c r="AE50" s="22">
        <v>-0.2218</v>
      </c>
      <c r="AF50" s="23"/>
      <c r="AG50" s="24"/>
      <c r="AH50" s="22" t="s">
        <v>60</v>
      </c>
      <c r="AI50" s="12">
        <v>0.10879999999999999</v>
      </c>
      <c r="AJ50" s="23"/>
      <c r="AK50" s="24"/>
      <c r="AL50" s="22" t="s">
        <v>60</v>
      </c>
      <c r="AM50" s="12">
        <v>0.67900000000000005</v>
      </c>
      <c r="AN50" s="23"/>
      <c r="AO50" s="25"/>
      <c r="AP50" s="22" t="s">
        <v>60</v>
      </c>
      <c r="AQ50" s="12">
        <v>-0.24790000000000001</v>
      </c>
      <c r="AR50" s="23"/>
      <c r="AS50" s="24"/>
      <c r="AT50" s="9" t="s">
        <v>60</v>
      </c>
      <c r="AU50" s="9">
        <v>-7.3999999999999996E-2</v>
      </c>
      <c r="AV50" s="9"/>
      <c r="AW50" s="9"/>
      <c r="AX50" s="9" t="s">
        <v>60</v>
      </c>
      <c r="AY50" s="9">
        <v>0.44900000000000001</v>
      </c>
      <c r="AZ50" s="9"/>
      <c r="BA50" s="9"/>
      <c r="BB50" s="9" t="s">
        <v>60</v>
      </c>
      <c r="BC50" s="9">
        <v>-0.11940000000000001</v>
      </c>
      <c r="BD50" s="9"/>
      <c r="BE50" s="9"/>
      <c r="BF50" s="9" t="s">
        <v>60</v>
      </c>
      <c r="BG50" s="9">
        <v>-0.12189999999999999</v>
      </c>
      <c r="BH50" s="9"/>
      <c r="BI50" s="9"/>
      <c r="BJ50" s="9" t="s">
        <v>60</v>
      </c>
      <c r="BK50" s="9">
        <v>8.3500000000000005E-2</v>
      </c>
      <c r="BL50" s="9"/>
      <c r="BM50" s="9"/>
    </row>
    <row r="51" spans="1:65" ht="15.6" thickTop="1" thickBot="1" x14ac:dyDescent="0.35">
      <c r="A51" s="44"/>
      <c r="B51" s="35">
        <v>2021</v>
      </c>
      <c r="C51" s="35">
        <v>631223</v>
      </c>
      <c r="D51" s="35">
        <v>52</v>
      </c>
      <c r="E51" s="16">
        <f t="shared" si="15"/>
        <v>8.2379761193746113</v>
      </c>
      <c r="F51" s="17">
        <f t="shared" si="16"/>
        <v>2.1087546971719369</v>
      </c>
      <c r="G51" s="31"/>
      <c r="H51" s="19"/>
      <c r="I51" s="32"/>
      <c r="J51" s="32"/>
      <c r="K51" s="77"/>
      <c r="L51" s="35">
        <v>373354</v>
      </c>
      <c r="M51" s="35">
        <v>292</v>
      </c>
      <c r="N51" s="16">
        <f t="shared" si="17"/>
        <v>78.209956234565595</v>
      </c>
      <c r="O51" s="17">
        <f t="shared" si="18"/>
        <v>4.3593969570246358</v>
      </c>
      <c r="P51" s="31"/>
      <c r="Q51" s="19"/>
      <c r="R51" s="32"/>
      <c r="S51" s="32"/>
      <c r="T51" s="77"/>
      <c r="U51" s="35">
        <v>191301</v>
      </c>
      <c r="V51" s="35">
        <v>1286</v>
      </c>
      <c r="W51" s="16">
        <f t="shared" si="19"/>
        <v>672.23903691041869</v>
      </c>
      <c r="X51" s="17">
        <f t="shared" si="20"/>
        <v>6.5106139869615802</v>
      </c>
      <c r="Y51" s="31"/>
      <c r="Z51" s="19"/>
      <c r="AA51" s="32"/>
      <c r="AB51" s="32"/>
      <c r="AC51" s="77"/>
      <c r="AD51" s="22" t="s">
        <v>62</v>
      </c>
      <c r="AE51" s="22">
        <v>0.15010000000000001</v>
      </c>
      <c r="AF51" s="23"/>
      <c r="AG51" s="24"/>
      <c r="AH51" s="22" t="s">
        <v>62</v>
      </c>
      <c r="AI51" s="12">
        <v>0.53569999999999995</v>
      </c>
      <c r="AJ51" s="23"/>
      <c r="AK51" s="24"/>
      <c r="AL51" s="22" t="s">
        <v>62</v>
      </c>
      <c r="AM51" s="12">
        <v>0.86209999999999998</v>
      </c>
      <c r="AN51" s="23"/>
      <c r="AO51" s="25"/>
      <c r="AP51" s="22" t="s">
        <v>62</v>
      </c>
      <c r="AQ51" s="12">
        <v>4.1099999999999998E-2</v>
      </c>
      <c r="AR51" s="23"/>
      <c r="AS51" s="24"/>
      <c r="AT51" s="9" t="s">
        <v>62</v>
      </c>
      <c r="AU51" s="9">
        <v>0.37519999999999998</v>
      </c>
      <c r="AV51" s="9"/>
      <c r="AW51" s="9"/>
      <c r="AX51" s="9" t="s">
        <v>62</v>
      </c>
      <c r="AY51" s="9">
        <v>0.74780000000000002</v>
      </c>
      <c r="AZ51" s="9"/>
      <c r="BA51" s="9"/>
      <c r="BB51" s="9" t="s">
        <v>62</v>
      </c>
      <c r="BC51" s="9">
        <v>0.32319999999999999</v>
      </c>
      <c r="BD51" s="9"/>
      <c r="BE51" s="9"/>
      <c r="BF51" s="9" t="s">
        <v>62</v>
      </c>
      <c r="BG51" s="9">
        <v>0.3201</v>
      </c>
      <c r="BH51" s="9"/>
      <c r="BI51" s="9"/>
      <c r="BJ51" s="9" t="s">
        <v>62</v>
      </c>
      <c r="BK51" s="9">
        <v>0.51649999999999996</v>
      </c>
      <c r="BL51" s="9"/>
      <c r="BM51" s="9"/>
    </row>
    <row r="52" spans="1:65" ht="15.6" thickTop="1" thickBot="1" x14ac:dyDescent="0.35">
      <c r="A52" s="14" t="s">
        <v>76</v>
      </c>
      <c r="B52" s="15">
        <v>2016</v>
      </c>
      <c r="C52" s="15">
        <v>277406</v>
      </c>
      <c r="D52" s="15">
        <v>15</v>
      </c>
      <c r="E52" s="16">
        <f t="shared" si="15"/>
        <v>5.4072370460624501</v>
      </c>
      <c r="F52" s="17">
        <f t="shared" si="16"/>
        <v>1.6877382500274769</v>
      </c>
      <c r="G52" s="18">
        <v>4.0599999999999997E-2</v>
      </c>
      <c r="H52" s="19">
        <f t="shared" si="21"/>
        <v>4.1435448040317846</v>
      </c>
      <c r="I52" s="20">
        <f>(EXP(-0.124) - 1) * 100</f>
        <v>-11.662015911724911</v>
      </c>
      <c r="J52" s="20">
        <f>(EXP(0.205) - 1) * 100</f>
        <v>22.752506496317771</v>
      </c>
      <c r="K52" s="72">
        <v>0.53200000000000003</v>
      </c>
      <c r="L52" s="15">
        <v>142013</v>
      </c>
      <c r="M52" s="15">
        <v>96</v>
      </c>
      <c r="N52" s="16">
        <f t="shared" si="17"/>
        <v>67.599445121221294</v>
      </c>
      <c r="O52" s="17">
        <f t="shared" si="18"/>
        <v>4.2135997747492731</v>
      </c>
      <c r="P52" s="18">
        <v>-1.06E-2</v>
      </c>
      <c r="Q52" s="19">
        <f t="shared" si="22"/>
        <v>-1.0544017977747844</v>
      </c>
      <c r="R52" s="20">
        <f>(EXP(-0.054) - 1) * 100</f>
        <v>-5.2567893498201679</v>
      </c>
      <c r="S52" s="20">
        <f>(EXP(0.033) - 1) * 100</f>
        <v>3.3550539241305577</v>
      </c>
      <c r="T52" s="72">
        <v>0.53620000000000001</v>
      </c>
      <c r="U52" s="15">
        <v>68520</v>
      </c>
      <c r="V52" s="15">
        <v>364</v>
      </c>
      <c r="W52" s="16">
        <f t="shared" si="19"/>
        <v>531.2317571511968</v>
      </c>
      <c r="X52" s="17">
        <f t="shared" si="20"/>
        <v>6.2751983801689128</v>
      </c>
      <c r="Y52" s="18">
        <v>1.83E-2</v>
      </c>
      <c r="Z52" s="19">
        <f t="shared" si="23"/>
        <v>1.8468471104626794</v>
      </c>
      <c r="AA52" s="20">
        <f>(EXP(-0.024) - 1) * 100</f>
        <v>-2.3714290242090708</v>
      </c>
      <c r="AB52" s="20">
        <f>(EXP(0.06) - 1) * 100</f>
        <v>6.1836546545359639</v>
      </c>
      <c r="AC52" s="72">
        <v>0.29409999999999997</v>
      </c>
      <c r="AD52" s="22" t="s">
        <v>64</v>
      </c>
      <c r="AE52" s="78">
        <v>1.7646999999999999</v>
      </c>
      <c r="AF52" s="23" t="s">
        <v>143</v>
      </c>
      <c r="AG52" s="24" t="s">
        <v>144</v>
      </c>
      <c r="AH52" s="22" t="s">
        <v>64</v>
      </c>
      <c r="AI52" s="12">
        <v>4.1486999999999998</v>
      </c>
      <c r="AJ52" s="23" t="s">
        <v>145</v>
      </c>
      <c r="AK52" s="24" t="s">
        <v>66</v>
      </c>
      <c r="AL52" s="22" t="s">
        <v>64</v>
      </c>
      <c r="AM52" s="12">
        <v>6.2773000000000003</v>
      </c>
      <c r="AN52" s="23" t="s">
        <v>146</v>
      </c>
      <c r="AO52" s="25" t="s">
        <v>66</v>
      </c>
      <c r="AP52" s="22" t="s">
        <v>64</v>
      </c>
      <c r="AQ52" s="12">
        <v>1.9159999999999999</v>
      </c>
      <c r="AR52" s="23" t="s">
        <v>147</v>
      </c>
      <c r="AS52" s="24" t="s">
        <v>148</v>
      </c>
      <c r="AT52" s="9" t="s">
        <v>64</v>
      </c>
      <c r="AU52" s="9">
        <v>4.1886999999999999</v>
      </c>
      <c r="AV52" s="9" t="s">
        <v>149</v>
      </c>
      <c r="AW52" s="9" t="s">
        <v>66</v>
      </c>
      <c r="AX52" s="9" t="s">
        <v>64</v>
      </c>
      <c r="AY52" s="9">
        <v>6.306</v>
      </c>
      <c r="AZ52" s="9" t="s">
        <v>150</v>
      </c>
      <c r="BA52" s="9" t="s">
        <v>66</v>
      </c>
      <c r="BB52" s="9" t="s">
        <v>64</v>
      </c>
      <c r="BC52" s="9">
        <v>1.4713000000000001</v>
      </c>
      <c r="BD52" s="9" t="s">
        <v>151</v>
      </c>
      <c r="BE52" s="9" t="s">
        <v>152</v>
      </c>
      <c r="BF52" s="9" t="s">
        <v>64</v>
      </c>
      <c r="BG52" s="9">
        <v>4.1586999999999996</v>
      </c>
      <c r="BH52" s="9" t="s">
        <v>153</v>
      </c>
      <c r="BI52" s="9" t="s">
        <v>66</v>
      </c>
      <c r="BJ52" s="9" t="s">
        <v>64</v>
      </c>
      <c r="BK52" s="9">
        <v>6.2626999999999997</v>
      </c>
      <c r="BL52" s="9" t="s">
        <v>154</v>
      </c>
      <c r="BM52" s="9" t="s">
        <v>66</v>
      </c>
    </row>
    <row r="53" spans="1:65" ht="15.6" thickTop="1" thickBot="1" x14ac:dyDescent="0.35">
      <c r="A53" s="26"/>
      <c r="B53" s="15">
        <v>2017</v>
      </c>
      <c r="C53" s="15">
        <v>291448</v>
      </c>
      <c r="D53" s="15">
        <v>14</v>
      </c>
      <c r="E53" s="16">
        <f t="shared" si="15"/>
        <v>4.8036013285388819</v>
      </c>
      <c r="F53" s="17">
        <f t="shared" si="16"/>
        <v>1.569365913375858</v>
      </c>
      <c r="G53" s="27"/>
      <c r="H53" s="19"/>
      <c r="I53" s="28"/>
      <c r="J53" s="28"/>
      <c r="K53" s="73"/>
      <c r="L53" s="15">
        <v>149471</v>
      </c>
      <c r="M53" s="15">
        <v>85</v>
      </c>
      <c r="N53" s="16">
        <f t="shared" si="17"/>
        <v>56.8672183901894</v>
      </c>
      <c r="O53" s="17">
        <f t="shared" si="18"/>
        <v>4.0407190483973174</v>
      </c>
      <c r="P53" s="27"/>
      <c r="Q53" s="19"/>
      <c r="R53" s="28"/>
      <c r="S53" s="28"/>
      <c r="T53" s="73"/>
      <c r="U53" s="15">
        <v>71866</v>
      </c>
      <c r="V53" s="15">
        <v>405</v>
      </c>
      <c r="W53" s="16">
        <f t="shared" si="19"/>
        <v>563.54882698355277</v>
      </c>
      <c r="X53" s="17">
        <f t="shared" si="20"/>
        <v>6.3342539792087722</v>
      </c>
      <c r="Y53" s="27"/>
      <c r="Z53" s="19"/>
      <c r="AA53" s="28"/>
      <c r="AB53" s="28"/>
      <c r="AC53" s="73"/>
      <c r="AD53" s="22" t="s">
        <v>77</v>
      </c>
      <c r="AE53" s="12">
        <v>-1.66E-2</v>
      </c>
      <c r="AF53" s="23" t="s">
        <v>155</v>
      </c>
      <c r="AG53" s="24" t="s">
        <v>156</v>
      </c>
      <c r="AH53" s="22" t="s">
        <v>77</v>
      </c>
      <c r="AI53" s="12">
        <v>-1.77E-2</v>
      </c>
      <c r="AJ53" s="23" t="s">
        <v>157</v>
      </c>
      <c r="AK53" s="24" t="s">
        <v>158</v>
      </c>
      <c r="AL53" s="22" t="s">
        <v>77</v>
      </c>
      <c r="AM53" s="12">
        <v>3.1699999999999999E-2</v>
      </c>
      <c r="AN53" s="23" t="s">
        <v>159</v>
      </c>
      <c r="AO53" s="25" t="s">
        <v>160</v>
      </c>
      <c r="AP53" s="22" t="s">
        <v>77</v>
      </c>
      <c r="AQ53" s="12">
        <v>4.0000000000000001E-3</v>
      </c>
      <c r="AR53" s="23" t="s">
        <v>161</v>
      </c>
      <c r="AS53" s="24" t="s">
        <v>162</v>
      </c>
      <c r="AT53" s="9" t="s">
        <v>77</v>
      </c>
      <c r="AU53" s="9">
        <v>2.23E-2</v>
      </c>
      <c r="AV53" s="9" t="s">
        <v>163</v>
      </c>
      <c r="AW53" s="9" t="s">
        <v>164</v>
      </c>
      <c r="AX53" s="9" t="s">
        <v>77</v>
      </c>
      <c r="AY53" s="9">
        <v>3.1099999999999999E-2</v>
      </c>
      <c r="AZ53" s="9" t="s">
        <v>165</v>
      </c>
      <c r="BA53" s="9" t="s">
        <v>166</v>
      </c>
      <c r="BB53" s="9" t="s">
        <v>77</v>
      </c>
      <c r="BC53" s="9">
        <v>4.0599999999999997E-2</v>
      </c>
      <c r="BD53" s="9" t="s">
        <v>167</v>
      </c>
      <c r="BE53" s="9" t="s">
        <v>168</v>
      </c>
      <c r="BF53" s="9" t="s">
        <v>77</v>
      </c>
      <c r="BG53" s="9">
        <v>-1.06E-2</v>
      </c>
      <c r="BH53" s="9" t="s">
        <v>169</v>
      </c>
      <c r="BI53" s="9" t="s">
        <v>170</v>
      </c>
      <c r="BJ53" s="9" t="s">
        <v>77</v>
      </c>
      <c r="BK53" s="9">
        <v>1.83E-2</v>
      </c>
      <c r="BL53" s="9" t="s">
        <v>171</v>
      </c>
      <c r="BM53" s="9" t="s">
        <v>172</v>
      </c>
    </row>
    <row r="54" spans="1:65" ht="15.6" thickTop="1" thickBot="1" x14ac:dyDescent="0.35">
      <c r="A54" s="26"/>
      <c r="B54" s="15">
        <v>2018</v>
      </c>
      <c r="C54" s="15">
        <v>305786</v>
      </c>
      <c r="D54" s="15">
        <v>10</v>
      </c>
      <c r="E54" s="16">
        <f t="shared" si="15"/>
        <v>3.2702609014147148</v>
      </c>
      <c r="F54" s="17">
        <f t="shared" si="16"/>
        <v>1.1848697680917555</v>
      </c>
      <c r="G54" s="27"/>
      <c r="H54" s="19"/>
      <c r="I54" s="28"/>
      <c r="J54" s="28"/>
      <c r="K54" s="73"/>
      <c r="L54" s="15">
        <v>157715</v>
      </c>
      <c r="M54" s="15">
        <v>99</v>
      </c>
      <c r="N54" s="16">
        <f t="shared" si="17"/>
        <v>62.771454839425552</v>
      </c>
      <c r="O54" s="17">
        <f t="shared" si="18"/>
        <v>4.1395004293657029</v>
      </c>
      <c r="P54" s="27"/>
      <c r="Q54" s="19"/>
      <c r="R54" s="28"/>
      <c r="S54" s="28"/>
      <c r="T54" s="73"/>
      <c r="U54" s="15">
        <v>75416</v>
      </c>
      <c r="V54" s="15">
        <v>419</v>
      </c>
      <c r="W54" s="16">
        <f t="shared" si="19"/>
        <v>555.5850217460486</v>
      </c>
      <c r="X54" s="17">
        <f t="shared" si="20"/>
        <v>6.3200216518163801</v>
      </c>
      <c r="Y54" s="27"/>
      <c r="Z54" s="19"/>
      <c r="AA54" s="28"/>
      <c r="AB54" s="28"/>
      <c r="AC54" s="73"/>
      <c r="AD54" s="22" t="s">
        <v>97</v>
      </c>
      <c r="AE54" s="12" t="s">
        <v>173</v>
      </c>
      <c r="AF54" s="23"/>
      <c r="AG54" s="24"/>
      <c r="AH54" s="22" t="s">
        <v>97</v>
      </c>
      <c r="AI54" s="12" t="s">
        <v>174</v>
      </c>
      <c r="AJ54" s="23"/>
      <c r="AK54" s="24"/>
      <c r="AL54" s="22" t="s">
        <v>97</v>
      </c>
      <c r="AM54" s="12" t="s">
        <v>175</v>
      </c>
      <c r="AN54" s="23"/>
      <c r="AO54" s="25"/>
      <c r="AP54" s="22" t="s">
        <v>97</v>
      </c>
      <c r="AQ54" s="12" t="s">
        <v>176</v>
      </c>
      <c r="AR54" s="23"/>
      <c r="AS54" s="24"/>
      <c r="AT54" s="9" t="s">
        <v>97</v>
      </c>
      <c r="AU54" s="9" t="s">
        <v>177</v>
      </c>
      <c r="AV54" s="9"/>
      <c r="AW54" s="9"/>
      <c r="AX54" s="9" t="s">
        <v>97</v>
      </c>
      <c r="AY54" s="9" t="s">
        <v>178</v>
      </c>
      <c r="AZ54" s="9"/>
      <c r="BA54" s="9"/>
      <c r="BB54" s="9" t="s">
        <v>97</v>
      </c>
      <c r="BC54" s="9" t="s">
        <v>179</v>
      </c>
      <c r="BD54" s="9"/>
      <c r="BE54" s="9"/>
      <c r="BF54" s="9" t="s">
        <v>97</v>
      </c>
      <c r="BG54" s="9" t="s">
        <v>180</v>
      </c>
      <c r="BH54" s="9"/>
      <c r="BI54" s="9"/>
      <c r="BJ54" s="9" t="s">
        <v>97</v>
      </c>
      <c r="BK54" s="9" t="s">
        <v>181</v>
      </c>
      <c r="BL54" s="9"/>
      <c r="BM54" s="9"/>
    </row>
    <row r="55" spans="1:65" ht="15.6" thickTop="1" thickBot="1" x14ac:dyDescent="0.35">
      <c r="A55" s="26"/>
      <c r="B55" s="15">
        <v>2019</v>
      </c>
      <c r="C55" s="15">
        <v>320499</v>
      </c>
      <c r="D55" s="15">
        <v>17</v>
      </c>
      <c r="E55" s="16">
        <f t="shared" si="15"/>
        <v>5.3042287183423351</v>
      </c>
      <c r="F55" s="17">
        <f t="shared" si="16"/>
        <v>1.6685043738132554</v>
      </c>
      <c r="G55" s="27"/>
      <c r="H55" s="19"/>
      <c r="I55" s="28"/>
      <c r="J55" s="28"/>
      <c r="K55" s="73"/>
      <c r="L55" s="15">
        <v>166798</v>
      </c>
      <c r="M55" s="15">
        <v>102</v>
      </c>
      <c r="N55" s="16">
        <f t="shared" si="17"/>
        <v>61.151812371850987</v>
      </c>
      <c r="O55" s="17">
        <f t="shared" si="18"/>
        <v>4.1133594998272756</v>
      </c>
      <c r="P55" s="27"/>
      <c r="Q55" s="19"/>
      <c r="R55" s="28"/>
      <c r="S55" s="28"/>
      <c r="T55" s="73"/>
      <c r="U55" s="15">
        <v>79154</v>
      </c>
      <c r="V55" s="15">
        <v>438</v>
      </c>
      <c r="W55" s="16">
        <f t="shared" si="19"/>
        <v>553.35169416580334</v>
      </c>
      <c r="X55" s="17">
        <f t="shared" si="20"/>
        <v>6.3159937743593169</v>
      </c>
      <c r="Y55" s="27"/>
      <c r="Z55" s="19"/>
      <c r="AA55" s="28"/>
      <c r="AB55" s="28"/>
      <c r="AC55" s="73"/>
      <c r="AD55" s="22" t="s">
        <v>107</v>
      </c>
      <c r="AE55" s="12" t="s">
        <v>182</v>
      </c>
      <c r="AF55" s="23"/>
      <c r="AG55" s="24"/>
      <c r="AH55" s="22" t="s">
        <v>107</v>
      </c>
      <c r="AI55" s="12" t="s">
        <v>183</v>
      </c>
      <c r="AJ55" s="23"/>
      <c r="AK55" s="24"/>
      <c r="AL55" s="22" t="s">
        <v>107</v>
      </c>
      <c r="AM55" s="12" t="s">
        <v>184</v>
      </c>
      <c r="AN55" s="23"/>
      <c r="AO55" s="25"/>
      <c r="AP55" s="22" t="s">
        <v>107</v>
      </c>
      <c r="AQ55" s="12" t="s">
        <v>185</v>
      </c>
      <c r="AR55" s="23"/>
      <c r="AS55" s="24"/>
      <c r="AT55" s="9" t="s">
        <v>107</v>
      </c>
      <c r="AU55" s="9" t="s">
        <v>186</v>
      </c>
      <c r="AV55" s="9"/>
      <c r="AW55" s="9"/>
      <c r="AX55" s="9" t="s">
        <v>107</v>
      </c>
      <c r="AY55" s="9" t="s">
        <v>187</v>
      </c>
      <c r="AZ55" s="9"/>
      <c r="BA55" s="9"/>
      <c r="BB55" s="9" t="s">
        <v>107</v>
      </c>
      <c r="BC55" s="9" t="s">
        <v>188</v>
      </c>
      <c r="BD55" s="9"/>
      <c r="BE55" s="9"/>
      <c r="BF55" s="9" t="s">
        <v>107</v>
      </c>
      <c r="BG55" s="9" t="s">
        <v>189</v>
      </c>
      <c r="BH55" s="9"/>
      <c r="BI55" s="9"/>
      <c r="BJ55" s="9" t="s">
        <v>107</v>
      </c>
      <c r="BK55" s="9" t="s">
        <v>190</v>
      </c>
      <c r="BL55" s="9"/>
      <c r="BM55" s="9"/>
    </row>
    <row r="56" spans="1:65" ht="15.6" thickTop="1" thickBot="1" x14ac:dyDescent="0.35">
      <c r="A56" s="26"/>
      <c r="B56" s="15">
        <v>2020</v>
      </c>
      <c r="C56" s="15">
        <v>335527</v>
      </c>
      <c r="D56" s="15">
        <v>22</v>
      </c>
      <c r="E56" s="16">
        <f t="shared" si="15"/>
        <v>6.5568493742679426</v>
      </c>
      <c r="F56" s="17">
        <f t="shared" si="16"/>
        <v>1.8805102092726136</v>
      </c>
      <c r="G56" s="27"/>
      <c r="H56" s="19"/>
      <c r="I56" s="28"/>
      <c r="J56" s="28"/>
      <c r="K56" s="73"/>
      <c r="L56" s="15">
        <v>176562</v>
      </c>
      <c r="M56" s="15">
        <v>113</v>
      </c>
      <c r="N56" s="16">
        <f t="shared" si="17"/>
        <v>64.000181239451294</v>
      </c>
      <c r="O56" s="17">
        <f t="shared" si="18"/>
        <v>4.1588859152220889</v>
      </c>
      <c r="P56" s="27"/>
      <c r="Q56" s="19"/>
      <c r="R56" s="28"/>
      <c r="S56" s="28"/>
      <c r="T56" s="73"/>
      <c r="U56" s="15">
        <v>82938</v>
      </c>
      <c r="V56" s="15">
        <v>436</v>
      </c>
      <c r="W56" s="16">
        <f t="shared" si="19"/>
        <v>525.69389182280747</v>
      </c>
      <c r="X56" s="17">
        <f t="shared" si="20"/>
        <v>6.2647190886268502</v>
      </c>
      <c r="Y56" s="27"/>
      <c r="Z56" s="19"/>
      <c r="AA56" s="28"/>
      <c r="AB56" s="28"/>
      <c r="AC56" s="73"/>
      <c r="AD56" s="22" t="s">
        <v>117</v>
      </c>
      <c r="AE56" s="12" t="s">
        <v>118</v>
      </c>
      <c r="AF56" s="23"/>
      <c r="AG56" s="24"/>
      <c r="AH56" s="22" t="s">
        <v>117</v>
      </c>
      <c r="AI56" s="12" t="s">
        <v>118</v>
      </c>
      <c r="AJ56" s="23"/>
      <c r="AK56" s="24"/>
      <c r="AL56" s="22" t="s">
        <v>117</v>
      </c>
      <c r="AM56" s="12" t="s">
        <v>118</v>
      </c>
      <c r="AN56" s="23"/>
      <c r="AO56" s="25"/>
      <c r="AP56" s="22" t="s">
        <v>117</v>
      </c>
      <c r="AQ56" s="12" t="s">
        <v>118</v>
      </c>
      <c r="AR56" s="23"/>
      <c r="AS56" s="24"/>
      <c r="AT56" s="9" t="s">
        <v>117</v>
      </c>
      <c r="AU56" s="9" t="s">
        <v>118</v>
      </c>
      <c r="AV56" s="9"/>
      <c r="AW56" s="9"/>
      <c r="AX56" s="9" t="s">
        <v>117</v>
      </c>
      <c r="AY56" s="9" t="s">
        <v>118</v>
      </c>
      <c r="AZ56" s="9"/>
      <c r="BA56" s="9"/>
      <c r="BB56" s="9" t="s">
        <v>117</v>
      </c>
      <c r="BC56" s="9" t="s">
        <v>118</v>
      </c>
      <c r="BD56" s="9"/>
      <c r="BE56" s="9"/>
      <c r="BF56" s="9" t="s">
        <v>117</v>
      </c>
      <c r="BG56" s="9" t="s">
        <v>118</v>
      </c>
      <c r="BH56" s="9"/>
      <c r="BI56" s="9"/>
      <c r="BJ56" s="9" t="s">
        <v>117</v>
      </c>
      <c r="BK56" s="9" t="s">
        <v>118</v>
      </c>
      <c r="BL56" s="9"/>
      <c r="BM56" s="9"/>
    </row>
    <row r="57" spans="1:65" ht="15.6" thickTop="1" thickBot="1" x14ac:dyDescent="0.35">
      <c r="A57" s="30"/>
      <c r="B57" s="15">
        <v>2021</v>
      </c>
      <c r="C57" s="15">
        <v>350233</v>
      </c>
      <c r="D57" s="15">
        <v>19</v>
      </c>
      <c r="E57" s="16">
        <f t="shared" si="15"/>
        <v>5.424959955229804</v>
      </c>
      <c r="F57" s="17">
        <f t="shared" si="16"/>
        <v>1.6910105178748196</v>
      </c>
      <c r="G57" s="31"/>
      <c r="H57" s="19"/>
      <c r="I57" s="32"/>
      <c r="J57" s="32"/>
      <c r="K57" s="74"/>
      <c r="L57" s="15">
        <v>186481</v>
      </c>
      <c r="M57" s="15">
        <v>109</v>
      </c>
      <c r="N57" s="16">
        <f t="shared" si="17"/>
        <v>58.450995007534281</v>
      </c>
      <c r="O57" s="17">
        <f t="shared" si="18"/>
        <v>4.0681887109987489</v>
      </c>
      <c r="P57" s="31"/>
      <c r="Q57" s="19"/>
      <c r="R57" s="32"/>
      <c r="S57" s="32"/>
      <c r="T57" s="74"/>
      <c r="U57" s="15">
        <v>86050</v>
      </c>
      <c r="V57" s="15">
        <v>544</v>
      </c>
      <c r="W57" s="16">
        <f t="shared" si="19"/>
        <v>632.19058686810001</v>
      </c>
      <c r="X57" s="17">
        <f t="shared" si="20"/>
        <v>6.4491909101864859</v>
      </c>
      <c r="Y57" s="31"/>
      <c r="Z57" s="19"/>
      <c r="AA57" s="32"/>
      <c r="AB57" s="32"/>
      <c r="AC57" s="74"/>
      <c r="BF57" t="e" vm="1">
        <v>#VALUE!</v>
      </c>
    </row>
    <row r="60" spans="1:65" ht="24" customHeight="1" x14ac:dyDescent="0.3">
      <c r="G60" s="9"/>
      <c r="I60" s="12"/>
      <c r="J60" s="12"/>
      <c r="Q60" s="9"/>
      <c r="X60" s="9"/>
    </row>
    <row r="74" spans="1:65" ht="15" thickBot="1" x14ac:dyDescent="0.35"/>
    <row r="75" spans="1:65" ht="15" thickBot="1" x14ac:dyDescent="0.35">
      <c r="A75" s="79"/>
      <c r="B75" s="79"/>
      <c r="C75" s="67" t="s">
        <v>191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9"/>
      <c r="AD75" s="4" t="s">
        <v>123</v>
      </c>
      <c r="AE75" s="4"/>
      <c r="AF75" s="4"/>
      <c r="AG75" s="4"/>
      <c r="AH75" s="4" t="s">
        <v>124</v>
      </c>
      <c r="AI75" s="4"/>
      <c r="AJ75" s="4"/>
      <c r="AK75" s="4"/>
      <c r="AL75" s="4" t="s">
        <v>125</v>
      </c>
      <c r="AM75" s="4"/>
      <c r="AN75" s="4"/>
      <c r="AO75" s="4"/>
      <c r="AP75" s="4" t="s">
        <v>126</v>
      </c>
      <c r="AQ75" s="4"/>
      <c r="AR75" s="4"/>
      <c r="AS75" s="4"/>
      <c r="AT75" s="4" t="s">
        <v>127</v>
      </c>
      <c r="AU75" s="4"/>
      <c r="AV75" s="4"/>
      <c r="AW75" s="4"/>
      <c r="AX75" s="4" t="s">
        <v>128</v>
      </c>
      <c r="AY75" s="4"/>
      <c r="AZ75" s="4"/>
      <c r="BA75" s="4"/>
      <c r="BB75" s="4" t="s">
        <v>129</v>
      </c>
      <c r="BC75" s="4"/>
      <c r="BD75" s="4"/>
      <c r="BE75" s="4"/>
      <c r="BF75" s="4" t="s">
        <v>130</v>
      </c>
      <c r="BG75" s="4"/>
      <c r="BH75" s="4"/>
      <c r="BI75" s="4"/>
      <c r="BJ75" s="4" t="s">
        <v>131</v>
      </c>
      <c r="BK75" s="4"/>
      <c r="BL75" s="4"/>
      <c r="BM75" s="4"/>
    </row>
    <row r="76" spans="1:65" ht="15" thickBot="1" x14ac:dyDescent="0.35">
      <c r="A76" s="1" t="s">
        <v>0</v>
      </c>
      <c r="B76" s="2"/>
      <c r="C76" s="1" t="s">
        <v>120</v>
      </c>
      <c r="D76" s="3"/>
      <c r="E76" s="3"/>
      <c r="F76" s="3"/>
      <c r="G76" s="3"/>
      <c r="H76" s="3"/>
      <c r="I76" s="3"/>
      <c r="J76" s="3"/>
      <c r="K76" s="2"/>
      <c r="L76" s="1" t="s">
        <v>121</v>
      </c>
      <c r="M76" s="3"/>
      <c r="N76" s="3"/>
      <c r="O76" s="3"/>
      <c r="P76" s="3"/>
      <c r="Q76" s="3"/>
      <c r="R76" s="3"/>
      <c r="S76" s="3"/>
      <c r="T76" s="2"/>
      <c r="U76" s="1" t="s">
        <v>122</v>
      </c>
      <c r="V76" s="3"/>
      <c r="W76" s="3"/>
      <c r="X76" s="3"/>
      <c r="Y76" s="3"/>
      <c r="Z76" s="3"/>
      <c r="AA76" s="3"/>
      <c r="AB76" s="3"/>
      <c r="AC76" s="2"/>
      <c r="AD76" s="7" t="s">
        <v>25</v>
      </c>
      <c r="AE76" s="7" t="s">
        <v>26</v>
      </c>
      <c r="AF76" s="7" t="s">
        <v>27</v>
      </c>
      <c r="AG76" s="7" t="s">
        <v>28</v>
      </c>
      <c r="AH76" s="7" t="s">
        <v>25</v>
      </c>
      <c r="AI76" s="7" t="s">
        <v>26</v>
      </c>
      <c r="AJ76" s="7" t="s">
        <v>27</v>
      </c>
      <c r="AK76" s="7" t="s">
        <v>28</v>
      </c>
      <c r="AL76" s="7" t="s">
        <v>25</v>
      </c>
      <c r="AM76" s="7" t="s">
        <v>26</v>
      </c>
      <c r="AN76" s="7" t="s">
        <v>27</v>
      </c>
      <c r="AO76" s="8" t="s">
        <v>28</v>
      </c>
      <c r="AP76" s="7" t="s">
        <v>25</v>
      </c>
      <c r="AQ76" s="7" t="s">
        <v>26</v>
      </c>
      <c r="AR76" s="7" t="s">
        <v>27</v>
      </c>
      <c r="AS76" s="7" t="s">
        <v>28</v>
      </c>
      <c r="AT76" s="9" t="s">
        <v>25</v>
      </c>
      <c r="AU76" s="9" t="s">
        <v>26</v>
      </c>
      <c r="AV76" s="9" t="s">
        <v>27</v>
      </c>
      <c r="AW76" s="9" t="s">
        <v>28</v>
      </c>
      <c r="AX76" s="9" t="s">
        <v>25</v>
      </c>
      <c r="AY76" s="9" t="s">
        <v>26</v>
      </c>
      <c r="AZ76" s="9" t="s">
        <v>27</v>
      </c>
      <c r="BA76" s="9" t="s">
        <v>28</v>
      </c>
      <c r="BB76" s="9" t="s">
        <v>25</v>
      </c>
      <c r="BC76" s="9" t="s">
        <v>26</v>
      </c>
      <c r="BD76" s="9" t="s">
        <v>27</v>
      </c>
      <c r="BE76" s="9" t="s">
        <v>28</v>
      </c>
      <c r="BF76" s="9" t="s">
        <v>25</v>
      </c>
      <c r="BG76" s="9" t="s">
        <v>26</v>
      </c>
      <c r="BH76" s="9" t="s">
        <v>27</v>
      </c>
      <c r="BI76" s="9" t="s">
        <v>28</v>
      </c>
      <c r="BJ76" s="9" t="s">
        <v>25</v>
      </c>
      <c r="BK76" s="9" t="s">
        <v>26</v>
      </c>
      <c r="BL76" s="9" t="s">
        <v>27</v>
      </c>
      <c r="BM76" s="9" t="s">
        <v>28</v>
      </c>
    </row>
    <row r="77" spans="1:65" ht="19.8" thickBot="1" x14ac:dyDescent="0.35">
      <c r="A77" s="70" t="s">
        <v>13</v>
      </c>
      <c r="B77" s="71" t="s">
        <v>14</v>
      </c>
      <c r="C77" s="71" t="s">
        <v>24</v>
      </c>
      <c r="D77" s="71" t="s">
        <v>16</v>
      </c>
      <c r="E77" s="71" t="s">
        <v>192</v>
      </c>
      <c r="F77" s="71" t="s">
        <v>18</v>
      </c>
      <c r="G77" s="71"/>
      <c r="H77" s="71" t="s">
        <v>20</v>
      </c>
      <c r="I77" s="71" t="s">
        <v>132</v>
      </c>
      <c r="J77" s="71" t="s">
        <v>22</v>
      </c>
      <c r="K77" s="71" t="s">
        <v>23</v>
      </c>
      <c r="L77" s="71" t="s">
        <v>24</v>
      </c>
      <c r="M77" s="71" t="s">
        <v>16</v>
      </c>
      <c r="N77" s="71" t="s">
        <v>192</v>
      </c>
      <c r="O77" s="71" t="s">
        <v>18</v>
      </c>
      <c r="P77" s="71"/>
      <c r="Q77" s="71" t="s">
        <v>20</v>
      </c>
      <c r="R77" s="71" t="s">
        <v>132</v>
      </c>
      <c r="S77" s="71" t="s">
        <v>22</v>
      </c>
      <c r="T77" s="71" t="s">
        <v>23</v>
      </c>
      <c r="U77" s="71" t="s">
        <v>24</v>
      </c>
      <c r="V77" s="71" t="s">
        <v>16</v>
      </c>
      <c r="W77" s="71" t="s">
        <v>193</v>
      </c>
      <c r="X77" s="71" t="s">
        <v>18</v>
      </c>
      <c r="Y77" s="71" t="s">
        <v>19</v>
      </c>
      <c r="Z77" s="71" t="s">
        <v>20</v>
      </c>
      <c r="AA77" s="71" t="s">
        <v>132</v>
      </c>
      <c r="AB77" s="71" t="s">
        <v>22</v>
      </c>
      <c r="AC77" s="71" t="s">
        <v>23</v>
      </c>
      <c r="AD77" s="12" t="s">
        <v>29</v>
      </c>
      <c r="AE77" s="12">
        <v>1</v>
      </c>
      <c r="AF77" s="12">
        <v>3.7000000000000002E-3</v>
      </c>
      <c r="AG77" s="12">
        <v>3.7000000000000002E-3</v>
      </c>
      <c r="AH77" s="12" t="s">
        <v>29</v>
      </c>
      <c r="AI77" s="12">
        <v>1</v>
      </c>
      <c r="AJ77" s="12">
        <v>8.0000000000000004E-4</v>
      </c>
      <c r="AK77" s="12">
        <v>8.0000000000000004E-4</v>
      </c>
      <c r="AL77" s="12" t="s">
        <v>29</v>
      </c>
      <c r="AM77" s="12">
        <v>1</v>
      </c>
      <c r="AN77" s="12">
        <v>6.0000000000000001E-3</v>
      </c>
      <c r="AO77" s="13">
        <v>6.0000000000000001E-3</v>
      </c>
      <c r="AP77" s="12" t="s">
        <v>29</v>
      </c>
      <c r="AQ77" s="12">
        <v>1</v>
      </c>
      <c r="AR77" s="12">
        <v>7.4899999999999994E-2</v>
      </c>
      <c r="AS77" s="12">
        <v>7.4899999999999994E-2</v>
      </c>
      <c r="AT77" s="9" t="s">
        <v>29</v>
      </c>
      <c r="AU77" s="9">
        <v>1</v>
      </c>
      <c r="AV77" s="9">
        <v>0</v>
      </c>
      <c r="AW77" s="9">
        <v>0</v>
      </c>
      <c r="AX77" s="9" t="s">
        <v>29</v>
      </c>
      <c r="AY77" s="9">
        <v>1</v>
      </c>
      <c r="AZ77" s="9">
        <v>1.1599999999999999E-2</v>
      </c>
      <c r="BA77" s="9">
        <v>1.1599999999999999E-2</v>
      </c>
      <c r="BB77" s="9" t="s">
        <v>29</v>
      </c>
      <c r="BC77" s="9">
        <v>1</v>
      </c>
      <c r="BD77" s="9">
        <v>2.76E-2</v>
      </c>
      <c r="BE77" s="9">
        <v>2.76E-2</v>
      </c>
      <c r="BF77" s="9" t="s">
        <v>29</v>
      </c>
      <c r="BG77" s="9">
        <v>1</v>
      </c>
      <c r="BH77" s="9">
        <v>5.0000000000000001E-4</v>
      </c>
      <c r="BI77" s="9">
        <v>5.0000000000000001E-4</v>
      </c>
      <c r="BJ77" s="9" t="s">
        <v>29</v>
      </c>
      <c r="BK77" s="9">
        <v>1</v>
      </c>
      <c r="BL77" s="9">
        <v>6.9999999999999999E-4</v>
      </c>
      <c r="BM77" s="9">
        <v>6.9999999999999999E-4</v>
      </c>
    </row>
    <row r="78" spans="1:65" ht="15.6" thickTop="1" thickBot="1" x14ac:dyDescent="0.35">
      <c r="A78" s="14" t="s">
        <v>31</v>
      </c>
      <c r="B78" s="15">
        <v>2016</v>
      </c>
      <c r="C78" s="15">
        <v>399525</v>
      </c>
      <c r="D78" s="15">
        <v>25</v>
      </c>
      <c r="E78" s="16">
        <f>(D78/C78)*100000</f>
        <v>6.2574306989550088</v>
      </c>
      <c r="F78" s="17">
        <f>LN(E78)</f>
        <v>1.8337696693851195</v>
      </c>
      <c r="G78" s="18">
        <v>1.46E-2</v>
      </c>
      <c r="H78" s="19">
        <f>(EXP(G78)-1)*100</f>
        <v>1.4707100588090993</v>
      </c>
      <c r="I78" s="20">
        <f>(EXP(-0.144) - 1) * 100</f>
        <v>-13.411225194079501</v>
      </c>
      <c r="J78" s="20">
        <f>(EXP(0.173) - 1) * 100</f>
        <v>18.886610508403212</v>
      </c>
      <c r="K78" s="72">
        <v>0.81120000000000003</v>
      </c>
      <c r="L78" s="15">
        <v>199842</v>
      </c>
      <c r="M78" s="15">
        <v>118</v>
      </c>
      <c r="N78" s="16">
        <f>(M78/L78)*100000</f>
        <v>59.046646851012298</v>
      </c>
      <c r="O78" s="17">
        <f>LN(N78)</f>
        <v>4.0783277561201636</v>
      </c>
      <c r="P78" s="18">
        <v>-6.8999999999999999E-3</v>
      </c>
      <c r="Q78" s="19">
        <f t="shared" ref="Q78:Q90" si="24">(EXP(P78)-1)*100</f>
        <v>-0.68762496571838083</v>
      </c>
      <c r="R78" s="20">
        <f>(EXP(-0.081) - 1) * 100</f>
        <v>-7.7806308555391945</v>
      </c>
      <c r="S78" s="20">
        <f>(EXP(0.068) - 1) * 100</f>
        <v>7.0365308478774313</v>
      </c>
      <c r="T78" s="72">
        <v>0.81089999999999995</v>
      </c>
      <c r="U78" s="15">
        <v>75689</v>
      </c>
      <c r="V78" s="15">
        <v>330</v>
      </c>
      <c r="W78" s="16">
        <f>(V78/U78)*100000</f>
        <v>435.99466236837583</v>
      </c>
      <c r="X78" s="17">
        <f>LN(W78)</f>
        <v>6.0776300009997293</v>
      </c>
      <c r="Y78" s="80">
        <v>1.8599999999999998E-2</v>
      </c>
      <c r="Z78" s="81">
        <f t="shared" ref="Z78:Z90" si="25">(EXP(Y78)-1)*100</f>
        <v>1.8774057481622641</v>
      </c>
      <c r="AA78" s="20">
        <f>(EXP(-0.012) - 1) * 100</f>
        <v>-1.1928287138069482</v>
      </c>
      <c r="AB78" s="20">
        <f>(EXP(0.05) - 1) * 100</f>
        <v>5.1271096376024117</v>
      </c>
      <c r="AC78" s="72">
        <v>0.17130000000000001</v>
      </c>
      <c r="AD78" s="22" t="s">
        <v>32</v>
      </c>
      <c r="AE78" s="12">
        <v>4</v>
      </c>
      <c r="AF78" s="23">
        <v>0.22839999999999999</v>
      </c>
      <c r="AG78" s="24">
        <v>5.7099999999999998E-2</v>
      </c>
      <c r="AH78" s="22" t="s">
        <v>32</v>
      </c>
      <c r="AI78" s="12">
        <v>4</v>
      </c>
      <c r="AJ78" s="23">
        <v>5.04E-2</v>
      </c>
      <c r="AK78" s="24">
        <v>1.26E-2</v>
      </c>
      <c r="AL78" s="22" t="s">
        <v>32</v>
      </c>
      <c r="AM78" s="12">
        <v>4</v>
      </c>
      <c r="AN78" s="23">
        <v>8.6999999999999994E-3</v>
      </c>
      <c r="AO78" s="25">
        <v>2.2000000000000001E-3</v>
      </c>
      <c r="AP78" s="22" t="s">
        <v>32</v>
      </c>
      <c r="AQ78" s="12">
        <v>4</v>
      </c>
      <c r="AR78" s="23">
        <v>0.32240000000000002</v>
      </c>
      <c r="AS78" s="24">
        <v>8.0600000000000005E-2</v>
      </c>
      <c r="AT78" s="9" t="s">
        <v>32</v>
      </c>
      <c r="AU78" s="9">
        <v>4</v>
      </c>
      <c r="AV78" s="9">
        <v>1.1900000000000001E-2</v>
      </c>
      <c r="AW78" s="9">
        <v>3.0000000000000001E-3</v>
      </c>
      <c r="AX78" s="9" t="s">
        <v>32</v>
      </c>
      <c r="AY78" s="9">
        <v>4</v>
      </c>
      <c r="AZ78" s="9">
        <v>1.6400000000000001E-2</v>
      </c>
      <c r="BA78" s="9">
        <v>4.1000000000000003E-3</v>
      </c>
      <c r="BB78" s="9" t="s">
        <v>32</v>
      </c>
      <c r="BC78" s="9">
        <v>4</v>
      </c>
      <c r="BD78" s="9">
        <v>6.2899999999999998E-2</v>
      </c>
      <c r="BE78" s="9">
        <v>1.5699999999999999E-2</v>
      </c>
      <c r="BF78" s="9" t="s">
        <v>32</v>
      </c>
      <c r="BG78" s="9">
        <v>4</v>
      </c>
      <c r="BH78" s="9">
        <v>6.8699999999999997E-2</v>
      </c>
      <c r="BI78" s="9">
        <v>1.72E-2</v>
      </c>
      <c r="BJ78" s="9" t="s">
        <v>32</v>
      </c>
      <c r="BK78" s="9">
        <v>4</v>
      </c>
      <c r="BL78" s="9">
        <v>2.46E-2</v>
      </c>
      <c r="BM78" s="9">
        <v>6.1999999999999998E-3</v>
      </c>
    </row>
    <row r="79" spans="1:65" ht="15.6" thickTop="1" thickBot="1" x14ac:dyDescent="0.35">
      <c r="A79" s="26"/>
      <c r="B79" s="15">
        <v>2017</v>
      </c>
      <c r="C79" s="15">
        <v>414756</v>
      </c>
      <c r="D79" s="15">
        <v>23</v>
      </c>
      <c r="E79" s="16">
        <f t="shared" ref="E79:E95" si="26">(D79/C79)*100000</f>
        <v>5.545429119771625</v>
      </c>
      <c r="F79" s="17">
        <f t="shared" ref="F79:F95" si="27">LN(E79)</f>
        <v>1.7129740064052146</v>
      </c>
      <c r="G79" s="27"/>
      <c r="H79" s="19"/>
      <c r="I79" s="28"/>
      <c r="J79" s="28"/>
      <c r="K79" s="73"/>
      <c r="L79" s="15">
        <v>207967</v>
      </c>
      <c r="M79" s="15">
        <v>151</v>
      </c>
      <c r="N79" s="16">
        <f t="shared" ref="N79:N95" si="28">(M79/L79)*100000</f>
        <v>72.60767333278838</v>
      </c>
      <c r="O79" s="17">
        <f t="shared" ref="O79:O95" si="29">LN(N79)</f>
        <v>4.2850706095347046</v>
      </c>
      <c r="P79" s="27"/>
      <c r="Q79" s="19"/>
      <c r="R79" s="28"/>
      <c r="S79" s="28"/>
      <c r="T79" s="73"/>
      <c r="U79" s="15">
        <v>79059</v>
      </c>
      <c r="V79" s="15">
        <v>353</v>
      </c>
      <c r="W79" s="16">
        <f t="shared" ref="W79:W95" si="30">(V79/U79)*100000</f>
        <v>446.50197953427187</v>
      </c>
      <c r="X79" s="17">
        <f t="shared" ref="X79:X95" si="31">LN(W79)</f>
        <v>6.1014438337541437</v>
      </c>
      <c r="Y79" s="82"/>
      <c r="Z79" s="83"/>
      <c r="AA79" s="28"/>
      <c r="AB79" s="28"/>
      <c r="AC79" s="73"/>
      <c r="AD79" s="22" t="s">
        <v>35</v>
      </c>
      <c r="AE79" s="12">
        <v>5</v>
      </c>
      <c r="AF79" s="23">
        <v>0.2321</v>
      </c>
      <c r="AG79" s="24" t="s">
        <v>36</v>
      </c>
      <c r="AH79" s="22" t="s">
        <v>35</v>
      </c>
      <c r="AI79" s="12">
        <v>5</v>
      </c>
      <c r="AJ79" s="23">
        <v>5.1200000000000002E-2</v>
      </c>
      <c r="AK79" s="24" t="s">
        <v>36</v>
      </c>
      <c r="AL79" s="22" t="s">
        <v>35</v>
      </c>
      <c r="AM79" s="12">
        <v>5</v>
      </c>
      <c r="AN79" s="23">
        <v>1.4800000000000001E-2</v>
      </c>
      <c r="AO79" s="25" t="s">
        <v>36</v>
      </c>
      <c r="AP79" s="22" t="s">
        <v>35</v>
      </c>
      <c r="AQ79" s="12">
        <v>5</v>
      </c>
      <c r="AR79" s="23">
        <v>0.39729999999999999</v>
      </c>
      <c r="AS79" s="24" t="s">
        <v>36</v>
      </c>
      <c r="AT79" s="9" t="s">
        <v>35</v>
      </c>
      <c r="AU79" s="9">
        <v>5</v>
      </c>
      <c r="AV79" s="9">
        <v>1.1900000000000001E-2</v>
      </c>
      <c r="AW79" s="9" t="s">
        <v>36</v>
      </c>
      <c r="AX79" s="9" t="s">
        <v>35</v>
      </c>
      <c r="AY79" s="9">
        <v>5</v>
      </c>
      <c r="AZ79" s="9">
        <v>2.7900000000000001E-2</v>
      </c>
      <c r="BA79" s="9" t="s">
        <v>36</v>
      </c>
      <c r="BB79" s="9" t="s">
        <v>35</v>
      </c>
      <c r="BC79" s="9">
        <v>5</v>
      </c>
      <c r="BD79" s="9">
        <v>9.0499999999999997E-2</v>
      </c>
      <c r="BE79" s="9" t="s">
        <v>36</v>
      </c>
      <c r="BF79" s="9" t="s">
        <v>35</v>
      </c>
      <c r="BG79" s="9">
        <v>5</v>
      </c>
      <c r="BH79" s="9">
        <v>6.9099999999999995E-2</v>
      </c>
      <c r="BI79" s="9" t="s">
        <v>36</v>
      </c>
      <c r="BJ79" s="9" t="s">
        <v>35</v>
      </c>
      <c r="BK79" s="9">
        <v>5</v>
      </c>
      <c r="BL79" s="9">
        <v>2.53E-2</v>
      </c>
      <c r="BM79" s="9" t="s">
        <v>36</v>
      </c>
    </row>
    <row r="80" spans="1:65" ht="15.6" thickTop="1" thickBot="1" x14ac:dyDescent="0.35">
      <c r="A80" s="26"/>
      <c r="B80" s="15">
        <v>2018</v>
      </c>
      <c r="C80" s="15">
        <v>430207</v>
      </c>
      <c r="D80" s="15">
        <v>22</v>
      </c>
      <c r="E80" s="16">
        <f t="shared" si="26"/>
        <v>5.1138173019035023</v>
      </c>
      <c r="F80" s="17">
        <f t="shared" si="27"/>
        <v>1.6319461511435298</v>
      </c>
      <c r="G80" s="27"/>
      <c r="H80" s="19"/>
      <c r="I80" s="28"/>
      <c r="J80" s="28"/>
      <c r="K80" s="73"/>
      <c r="L80" s="15">
        <v>216838</v>
      </c>
      <c r="M80" s="15">
        <v>147</v>
      </c>
      <c r="N80" s="16">
        <f t="shared" si="28"/>
        <v>67.792545587028101</v>
      </c>
      <c r="O80" s="17">
        <f t="shared" si="29"/>
        <v>4.2164522418077439</v>
      </c>
      <c r="P80" s="27"/>
      <c r="Q80" s="19"/>
      <c r="R80" s="28"/>
      <c r="S80" s="28"/>
      <c r="T80" s="73"/>
      <c r="U80" s="15">
        <v>82700</v>
      </c>
      <c r="V80" s="15">
        <v>399</v>
      </c>
      <c r="W80" s="16">
        <f t="shared" si="30"/>
        <v>482.46674727932287</v>
      </c>
      <c r="X80" s="17">
        <f t="shared" si="31"/>
        <v>6.1789120008483094</v>
      </c>
      <c r="Y80" s="82"/>
      <c r="Z80" s="83"/>
      <c r="AA80" s="28"/>
      <c r="AB80" s="28"/>
      <c r="AC80" s="73"/>
      <c r="AD80" s="22"/>
      <c r="AE80" s="12"/>
      <c r="AF80" s="23"/>
      <c r="AG80" s="24"/>
      <c r="AH80" s="22"/>
      <c r="AI80" s="12"/>
      <c r="AJ80" s="23"/>
      <c r="AK80" s="24"/>
      <c r="AL80" s="22"/>
      <c r="AM80" s="12"/>
      <c r="AN80" s="23"/>
      <c r="AO80" s="25"/>
      <c r="AP80" s="22"/>
      <c r="AQ80" s="12"/>
      <c r="AR80" s="23"/>
      <c r="AS80" s="24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</row>
    <row r="81" spans="1:65" ht="15.6" thickTop="1" thickBot="1" x14ac:dyDescent="0.35">
      <c r="A81" s="26"/>
      <c r="B81" s="15">
        <v>2019</v>
      </c>
      <c r="C81" s="15">
        <v>445828</v>
      </c>
      <c r="D81" s="15">
        <v>40</v>
      </c>
      <c r="E81" s="16">
        <f t="shared" si="26"/>
        <v>8.9720699462573013</v>
      </c>
      <c r="F81" s="17">
        <f t="shared" si="27"/>
        <v>2.1941164126883508</v>
      </c>
      <c r="G81" s="27"/>
      <c r="H81" s="19"/>
      <c r="I81" s="28"/>
      <c r="J81" s="28"/>
      <c r="K81" s="73"/>
      <c r="L81" s="15">
        <v>225454</v>
      </c>
      <c r="M81" s="15">
        <v>170</v>
      </c>
      <c r="N81" s="16">
        <f t="shared" si="28"/>
        <v>75.403408234052179</v>
      </c>
      <c r="O81" s="17">
        <f t="shared" si="29"/>
        <v>4.322852476035461</v>
      </c>
      <c r="P81" s="27"/>
      <c r="Q81" s="19"/>
      <c r="R81" s="28"/>
      <c r="S81" s="28"/>
      <c r="T81" s="73"/>
      <c r="U81" s="15">
        <v>86521</v>
      </c>
      <c r="V81" s="15">
        <v>398</v>
      </c>
      <c r="W81" s="16">
        <f t="shared" si="30"/>
        <v>460.00392968181137</v>
      </c>
      <c r="X81" s="17">
        <f t="shared" si="31"/>
        <v>6.1312350322331977</v>
      </c>
      <c r="Y81" s="82"/>
      <c r="Z81" s="83"/>
      <c r="AA81" s="28"/>
      <c r="AB81" s="28"/>
      <c r="AC81" s="73"/>
      <c r="AD81" s="22" t="s">
        <v>38</v>
      </c>
      <c r="AE81" s="12">
        <v>6.5100000000000005E-2</v>
      </c>
      <c r="AF81" s="23" t="s">
        <v>194</v>
      </c>
      <c r="AG81" s="24"/>
      <c r="AH81" s="22" t="s">
        <v>38</v>
      </c>
      <c r="AI81" s="12">
        <v>6.5299999999999997E-2</v>
      </c>
      <c r="AJ81" s="23" t="s">
        <v>195</v>
      </c>
      <c r="AK81" s="24"/>
      <c r="AL81" s="22" t="s">
        <v>38</v>
      </c>
      <c r="AM81" s="12">
        <v>2.7705000000000002</v>
      </c>
      <c r="AN81" s="23" t="s">
        <v>196</v>
      </c>
      <c r="AO81" s="25"/>
      <c r="AP81" s="22" t="s">
        <v>38</v>
      </c>
      <c r="AQ81" s="12">
        <v>0.92959999999999998</v>
      </c>
      <c r="AR81" s="23" t="s">
        <v>197</v>
      </c>
      <c r="AS81" s="24"/>
      <c r="AT81" s="9" t="s">
        <v>38</v>
      </c>
      <c r="AU81" s="9">
        <v>7.7000000000000002E-3</v>
      </c>
      <c r="AV81" s="9" t="s">
        <v>198</v>
      </c>
      <c r="AW81" s="9"/>
      <c r="AX81" s="9" t="s">
        <v>38</v>
      </c>
      <c r="AY81" s="9">
        <v>2.8289</v>
      </c>
      <c r="AZ81" s="9" t="s">
        <v>199</v>
      </c>
      <c r="BA81" s="9"/>
      <c r="BB81" s="9" t="s">
        <v>38</v>
      </c>
      <c r="BC81" s="9">
        <v>1.7558</v>
      </c>
      <c r="BD81" s="9" t="s">
        <v>200</v>
      </c>
      <c r="BE81" s="9"/>
      <c r="BF81" s="9" t="s">
        <v>38</v>
      </c>
      <c r="BG81" s="9">
        <v>2.7E-2</v>
      </c>
      <c r="BH81" s="9" t="s">
        <v>201</v>
      </c>
      <c r="BI81" s="9"/>
      <c r="BJ81" s="9" t="s">
        <v>38</v>
      </c>
      <c r="BK81" s="9">
        <v>0.11219999999999999</v>
      </c>
      <c r="BL81" s="9" t="s">
        <v>202</v>
      </c>
      <c r="BM81" s="9"/>
    </row>
    <row r="82" spans="1:65" ht="15.6" thickTop="1" thickBot="1" x14ac:dyDescent="0.35">
      <c r="A82" s="26"/>
      <c r="B82" s="15">
        <v>2020</v>
      </c>
      <c r="C82" s="15">
        <v>460878</v>
      </c>
      <c r="D82" s="15">
        <v>23</v>
      </c>
      <c r="E82" s="16">
        <f t="shared" si="26"/>
        <v>4.9904747026328016</v>
      </c>
      <c r="F82" s="17">
        <f t="shared" si="27"/>
        <v>1.6075310360269175</v>
      </c>
      <c r="G82" s="27"/>
      <c r="H82" s="19"/>
      <c r="I82" s="28"/>
      <c r="J82" s="28"/>
      <c r="K82" s="73"/>
      <c r="L82" s="15">
        <v>236312</v>
      </c>
      <c r="M82" s="15">
        <v>144</v>
      </c>
      <c r="N82" s="16">
        <f t="shared" si="28"/>
        <v>60.936389180405563</v>
      </c>
      <c r="O82" s="17">
        <f t="shared" si="29"/>
        <v>4.1098305197575487</v>
      </c>
      <c r="P82" s="27"/>
      <c r="Q82" s="19"/>
      <c r="R82" s="28"/>
      <c r="S82" s="28"/>
      <c r="T82" s="73"/>
      <c r="U82" s="15">
        <v>90196</v>
      </c>
      <c r="V82" s="15">
        <v>402</v>
      </c>
      <c r="W82" s="16">
        <f t="shared" si="30"/>
        <v>445.69603973568672</v>
      </c>
      <c r="X82" s="17">
        <f t="shared" si="31"/>
        <v>6.0996371944198469</v>
      </c>
      <c r="Y82" s="82"/>
      <c r="Z82" s="83"/>
      <c r="AA82" s="28"/>
      <c r="AB82" s="28"/>
      <c r="AC82" s="73"/>
      <c r="AD82" s="22" t="s">
        <v>49</v>
      </c>
      <c r="AE82" s="12" t="s">
        <v>50</v>
      </c>
      <c r="AF82" s="23"/>
      <c r="AG82" s="24"/>
      <c r="AH82" s="22" t="s">
        <v>49</v>
      </c>
      <c r="AI82" s="12" t="s">
        <v>50</v>
      </c>
      <c r="AJ82" s="23"/>
      <c r="AK82" s="24"/>
      <c r="AL82" s="22" t="s">
        <v>49</v>
      </c>
      <c r="AM82" s="12" t="s">
        <v>50</v>
      </c>
      <c r="AN82" s="23"/>
      <c r="AO82" s="25"/>
      <c r="AP82" s="22" t="s">
        <v>49</v>
      </c>
      <c r="AQ82" s="12" t="s">
        <v>50</v>
      </c>
      <c r="AR82" s="23"/>
      <c r="AS82" s="24"/>
      <c r="AT82" s="9" t="s">
        <v>49</v>
      </c>
      <c r="AU82" s="9" t="s">
        <v>50</v>
      </c>
      <c r="AV82" s="9"/>
      <c r="AW82" s="9"/>
      <c r="AX82" s="9" t="s">
        <v>49</v>
      </c>
      <c r="AY82" s="9" t="s">
        <v>50</v>
      </c>
      <c r="AZ82" s="9"/>
      <c r="BA82" s="9"/>
      <c r="BB82" s="9" t="s">
        <v>49</v>
      </c>
      <c r="BC82" s="9" t="s">
        <v>50</v>
      </c>
      <c r="BD82" s="9"/>
      <c r="BE82" s="9"/>
      <c r="BF82" s="9" t="s">
        <v>49</v>
      </c>
      <c r="BG82" s="9" t="s">
        <v>50</v>
      </c>
      <c r="BH82" s="9"/>
      <c r="BI82" s="9"/>
      <c r="BJ82" s="9" t="s">
        <v>49</v>
      </c>
      <c r="BK82" s="9" t="s">
        <v>50</v>
      </c>
      <c r="BL82" s="9"/>
      <c r="BM82" s="9"/>
    </row>
    <row r="83" spans="1:65" ht="15.6" thickTop="1" thickBot="1" x14ac:dyDescent="0.35">
      <c r="A83" s="30"/>
      <c r="B83" s="15">
        <v>2021</v>
      </c>
      <c r="C83" s="15">
        <v>473677</v>
      </c>
      <c r="D83" s="15">
        <v>31</v>
      </c>
      <c r="E83" s="16">
        <f t="shared" si="26"/>
        <v>6.5445440669485748</v>
      </c>
      <c r="F83" s="17">
        <f t="shared" si="27"/>
        <v>1.8786317356594031</v>
      </c>
      <c r="G83" s="31"/>
      <c r="H83" s="19"/>
      <c r="I83" s="32"/>
      <c r="J83" s="32"/>
      <c r="K83" s="74"/>
      <c r="L83" s="15">
        <v>244760</v>
      </c>
      <c r="M83" s="15">
        <v>151</v>
      </c>
      <c r="N83" s="16">
        <f t="shared" si="28"/>
        <v>61.693087105736232</v>
      </c>
      <c r="O83" s="17">
        <f t="shared" si="29"/>
        <v>4.1221718842086759</v>
      </c>
      <c r="P83" s="31"/>
      <c r="Q83" s="19"/>
      <c r="R83" s="32"/>
      <c r="S83" s="32"/>
      <c r="T83" s="74"/>
      <c r="U83" s="15">
        <v>92725</v>
      </c>
      <c r="V83" s="15">
        <v>466</v>
      </c>
      <c r="W83" s="16">
        <f t="shared" si="30"/>
        <v>502.56133728767855</v>
      </c>
      <c r="X83" s="17">
        <f t="shared" si="31"/>
        <v>6.2197176967380825</v>
      </c>
      <c r="Y83" s="84"/>
      <c r="Z83" s="85"/>
      <c r="AA83" s="32"/>
      <c r="AB83" s="32"/>
      <c r="AC83" s="74"/>
      <c r="AD83" s="22" t="s">
        <v>51</v>
      </c>
      <c r="AE83" s="12" t="s">
        <v>52</v>
      </c>
      <c r="AF83" s="23"/>
      <c r="AG83" s="24"/>
      <c r="AH83" s="22" t="s">
        <v>51</v>
      </c>
      <c r="AI83" s="12" t="s">
        <v>52</v>
      </c>
      <c r="AJ83" s="23"/>
      <c r="AK83" s="24"/>
      <c r="AL83" s="22" t="s">
        <v>51</v>
      </c>
      <c r="AM83" s="12" t="s">
        <v>52</v>
      </c>
      <c r="AN83" s="23"/>
      <c r="AO83" s="25"/>
      <c r="AP83" s="22" t="s">
        <v>51</v>
      </c>
      <c r="AQ83" s="12" t="s">
        <v>52</v>
      </c>
      <c r="AR83" s="23"/>
      <c r="AS83" s="24"/>
      <c r="AT83" s="9" t="s">
        <v>51</v>
      </c>
      <c r="AU83" s="9" t="s">
        <v>52</v>
      </c>
      <c r="AV83" s="9"/>
      <c r="AW83" s="9"/>
      <c r="AX83" s="9" t="s">
        <v>51</v>
      </c>
      <c r="AY83" s="9" t="s">
        <v>52</v>
      </c>
      <c r="AZ83" s="9"/>
      <c r="BA83" s="9"/>
      <c r="BB83" s="9" t="s">
        <v>51</v>
      </c>
      <c r="BC83" s="9" t="s">
        <v>52</v>
      </c>
      <c r="BD83" s="9"/>
      <c r="BE83" s="9"/>
      <c r="BF83" s="9" t="s">
        <v>51</v>
      </c>
      <c r="BG83" s="9" t="s">
        <v>52</v>
      </c>
      <c r="BH83" s="9"/>
      <c r="BI83" s="9"/>
      <c r="BJ83" s="9" t="s">
        <v>51</v>
      </c>
      <c r="BK83" s="9" t="s">
        <v>52</v>
      </c>
      <c r="BL83" s="9"/>
      <c r="BM83" s="9"/>
    </row>
    <row r="84" spans="1:65" ht="15.6" thickTop="1" thickBot="1" x14ac:dyDescent="0.35">
      <c r="A84" s="34" t="s">
        <v>53</v>
      </c>
      <c r="B84" s="35">
        <v>2016</v>
      </c>
      <c r="C84" s="35">
        <v>473496</v>
      </c>
      <c r="D84" s="35">
        <v>30</v>
      </c>
      <c r="E84" s="16">
        <f t="shared" si="26"/>
        <v>6.3358507780424747</v>
      </c>
      <c r="F84" s="17">
        <f t="shared" si="27"/>
        <v>1.8462241027894686</v>
      </c>
      <c r="G84" s="18">
        <v>6.54E-2</v>
      </c>
      <c r="H84" s="19">
        <f t="shared" ref="H84:H90" si="32">(EXP(G84)-1)*100</f>
        <v>6.7585973378052389</v>
      </c>
      <c r="I84" s="20">
        <f>(EXP(-0.123) - 1) * 100</f>
        <v>-11.57363374391791</v>
      </c>
      <c r="J84" s="20">
        <f>(EXP(0.254) - 1) * 100</f>
        <v>28.917180426780419</v>
      </c>
      <c r="K84" s="75">
        <v>0.38950000000000001</v>
      </c>
      <c r="L84" s="35">
        <v>228324</v>
      </c>
      <c r="M84" s="35">
        <v>166</v>
      </c>
      <c r="N84" s="16">
        <f t="shared" si="28"/>
        <v>72.703701757152118</v>
      </c>
      <c r="O84" s="17">
        <f t="shared" si="29"/>
        <v>4.2863923014983705</v>
      </c>
      <c r="P84" s="18">
        <v>1.1000000000000001E-3</v>
      </c>
      <c r="Q84" s="19">
        <f t="shared" si="24"/>
        <v>0.11006052218942575</v>
      </c>
      <c r="R84" s="20">
        <f>(EXP(-0.035) - 1) * 100</f>
        <v>-3.4394583742433538</v>
      </c>
      <c r="S84" s="20">
        <f>(EXP(0.037) - 1) * 100</f>
        <v>3.7693020838157176</v>
      </c>
      <c r="T84" s="75">
        <v>0.93440000000000001</v>
      </c>
      <c r="U84" s="35">
        <v>86835</v>
      </c>
      <c r="V84" s="35">
        <v>395</v>
      </c>
      <c r="W84" s="16">
        <f t="shared" si="30"/>
        <v>454.88570276962054</v>
      </c>
      <c r="X84" s="17">
        <f t="shared" si="31"/>
        <v>6.1200461846901355</v>
      </c>
      <c r="Y84" s="80">
        <v>2.5700000000000001E-2</v>
      </c>
      <c r="Z84" s="81">
        <f t="shared" si="25"/>
        <v>2.6033092369624589</v>
      </c>
      <c r="AA84" s="20">
        <f>(EXP(-0.017) - 1) * 100</f>
        <v>-1.6856315365090357</v>
      </c>
      <c r="AB84" s="20">
        <f>(EXP(0.068) - 1) * 100</f>
        <v>7.0365308478774313</v>
      </c>
      <c r="AC84" s="75">
        <v>0.1678</v>
      </c>
      <c r="AD84" s="22" t="s">
        <v>54</v>
      </c>
      <c r="AE84" s="12">
        <v>3.5</v>
      </c>
      <c r="AF84" s="23"/>
      <c r="AG84" s="24"/>
      <c r="AH84" s="22" t="s">
        <v>54</v>
      </c>
      <c r="AI84" s="12">
        <v>3.5</v>
      </c>
      <c r="AJ84" s="23"/>
      <c r="AK84" s="24"/>
      <c r="AL84" s="22" t="s">
        <v>54</v>
      </c>
      <c r="AM84" s="12">
        <v>3.5</v>
      </c>
      <c r="AN84" s="23"/>
      <c r="AO84" s="25"/>
      <c r="AP84" s="22" t="s">
        <v>54</v>
      </c>
      <c r="AQ84" s="12">
        <v>3.5</v>
      </c>
      <c r="AR84" s="23"/>
      <c r="AS84" s="24"/>
      <c r="AT84" s="9" t="s">
        <v>54</v>
      </c>
      <c r="AU84" s="9">
        <v>3.5</v>
      </c>
      <c r="AV84" s="9"/>
      <c r="AW84" s="9"/>
      <c r="AX84" s="9" t="s">
        <v>54</v>
      </c>
      <c r="AY84" s="9">
        <v>3.5</v>
      </c>
      <c r="AZ84" s="9"/>
      <c r="BA84" s="9"/>
      <c r="BB84" s="9" t="s">
        <v>54</v>
      </c>
      <c r="BC84" s="9">
        <v>3.5</v>
      </c>
      <c r="BD84" s="9"/>
      <c r="BE84" s="9"/>
      <c r="BF84" s="9" t="s">
        <v>54</v>
      </c>
      <c r="BG84" s="9">
        <v>3.5</v>
      </c>
      <c r="BH84" s="9"/>
      <c r="BI84" s="9"/>
      <c r="BJ84" s="9" t="s">
        <v>54</v>
      </c>
      <c r="BK84" s="9">
        <v>3.5</v>
      </c>
      <c r="BL84" s="9"/>
      <c r="BM84" s="9"/>
    </row>
    <row r="85" spans="1:65" ht="15.6" thickTop="1" thickBot="1" x14ac:dyDescent="0.35">
      <c r="A85" s="39"/>
      <c r="B85" s="35">
        <v>2017</v>
      </c>
      <c r="C85" s="35">
        <v>489235</v>
      </c>
      <c r="D85" s="35">
        <v>30</v>
      </c>
      <c r="E85" s="16">
        <f t="shared" si="26"/>
        <v>6.1320224432021417</v>
      </c>
      <c r="F85" s="17">
        <f t="shared" si="27"/>
        <v>1.8135246210162654</v>
      </c>
      <c r="G85" s="27"/>
      <c r="H85" s="19"/>
      <c r="I85" s="28"/>
      <c r="J85" s="28"/>
      <c r="K85" s="76"/>
      <c r="L85" s="35">
        <v>238056</v>
      </c>
      <c r="M85" s="35">
        <v>163</v>
      </c>
      <c r="N85" s="16">
        <f t="shared" si="28"/>
        <v>68.471284067614349</v>
      </c>
      <c r="O85" s="17">
        <f t="shared" si="29"/>
        <v>4.2264144466830516</v>
      </c>
      <c r="P85" s="27"/>
      <c r="Q85" s="19"/>
      <c r="R85" s="28"/>
      <c r="S85" s="28"/>
      <c r="T85" s="76"/>
      <c r="U85" s="35">
        <v>90297</v>
      </c>
      <c r="V85" s="35">
        <v>384</v>
      </c>
      <c r="W85" s="16">
        <f t="shared" si="30"/>
        <v>425.26329778397951</v>
      </c>
      <c r="X85" s="17">
        <f t="shared" si="31"/>
        <v>6.0527085012961228</v>
      </c>
      <c r="Y85" s="82"/>
      <c r="Z85" s="83"/>
      <c r="AA85" s="28"/>
      <c r="AB85" s="28"/>
      <c r="AC85" s="76"/>
      <c r="AD85" s="22" t="s">
        <v>56</v>
      </c>
      <c r="AE85" s="12">
        <v>1.8083</v>
      </c>
      <c r="AF85" s="23"/>
      <c r="AG85" s="24"/>
      <c r="AH85" s="22" t="s">
        <v>56</v>
      </c>
      <c r="AI85" s="12">
        <v>4.1900000000000004</v>
      </c>
      <c r="AJ85" s="23"/>
      <c r="AK85" s="24"/>
      <c r="AL85" s="22" t="s">
        <v>56</v>
      </c>
      <c r="AM85" s="12">
        <v>6.1349999999999998</v>
      </c>
      <c r="AN85" s="23"/>
      <c r="AO85" s="25"/>
      <c r="AP85" s="22" t="s">
        <v>56</v>
      </c>
      <c r="AQ85" s="12">
        <v>2.0316999999999998</v>
      </c>
      <c r="AR85" s="23"/>
      <c r="AS85" s="24"/>
      <c r="AT85" s="9" t="s">
        <v>56</v>
      </c>
      <c r="AU85" s="9">
        <v>4.2967000000000004</v>
      </c>
      <c r="AV85" s="9"/>
      <c r="AW85" s="9"/>
      <c r="AX85" s="9" t="s">
        <v>56</v>
      </c>
      <c r="AY85" s="9">
        <v>6.1666999999999996</v>
      </c>
      <c r="AZ85" s="9"/>
      <c r="BA85" s="9"/>
      <c r="BB85" s="9" t="s">
        <v>56</v>
      </c>
      <c r="BC85" s="9">
        <v>1.6216999999999999</v>
      </c>
      <c r="BD85" s="9"/>
      <c r="BE85" s="9"/>
      <c r="BF85" s="9" t="s">
        <v>56</v>
      </c>
      <c r="BG85" s="9">
        <v>4.0266999999999999</v>
      </c>
      <c r="BH85" s="9"/>
      <c r="BI85" s="9"/>
      <c r="BJ85" s="9" t="s">
        <v>56</v>
      </c>
      <c r="BK85" s="9">
        <v>6.1067</v>
      </c>
      <c r="BL85" s="9"/>
      <c r="BM85" s="9"/>
    </row>
    <row r="86" spans="1:65" ht="15.6" thickTop="1" thickBot="1" x14ac:dyDescent="0.35">
      <c r="A86" s="39"/>
      <c r="B86" s="35">
        <v>2018</v>
      </c>
      <c r="C86" s="35">
        <v>504408</v>
      </c>
      <c r="D86" s="35">
        <v>46</v>
      </c>
      <c r="E86" s="16">
        <f t="shared" si="26"/>
        <v>9.1196015923617395</v>
      </c>
      <c r="F86" s="17">
        <f t="shared" si="27"/>
        <v>2.2104261180839657</v>
      </c>
      <c r="G86" s="27"/>
      <c r="H86" s="19"/>
      <c r="I86" s="28"/>
      <c r="J86" s="28"/>
      <c r="K86" s="76"/>
      <c r="L86" s="35">
        <v>248526</v>
      </c>
      <c r="M86" s="35">
        <v>196</v>
      </c>
      <c r="N86" s="16">
        <f t="shared" si="28"/>
        <v>78.864987969065609</v>
      </c>
      <c r="O86" s="17">
        <f t="shared" si="29"/>
        <v>4.3677373773884289</v>
      </c>
      <c r="P86" s="27"/>
      <c r="Q86" s="19"/>
      <c r="R86" s="28"/>
      <c r="S86" s="28"/>
      <c r="T86" s="76"/>
      <c r="U86" s="35">
        <v>93890</v>
      </c>
      <c r="V86" s="35">
        <v>459</v>
      </c>
      <c r="W86" s="16">
        <f t="shared" si="30"/>
        <v>488.86995420172536</v>
      </c>
      <c r="X86" s="17">
        <f t="shared" si="31"/>
        <v>6.1920965117781801</v>
      </c>
      <c r="Y86" s="82"/>
      <c r="Z86" s="83"/>
      <c r="AA86" s="28"/>
      <c r="AB86" s="28"/>
      <c r="AC86" s="76"/>
      <c r="AD86" s="22" t="s">
        <v>58</v>
      </c>
      <c r="AE86" s="22">
        <v>1.6E-2</v>
      </c>
      <c r="AF86" s="23"/>
      <c r="AG86" s="24"/>
      <c r="AH86" s="22" t="s">
        <v>58</v>
      </c>
      <c r="AI86" s="12">
        <v>1.61E-2</v>
      </c>
      <c r="AJ86" s="23"/>
      <c r="AK86" s="24"/>
      <c r="AL86" s="22" t="s">
        <v>58</v>
      </c>
      <c r="AM86" s="12">
        <v>0.40920000000000001</v>
      </c>
      <c r="AN86" s="23"/>
      <c r="AO86" s="25"/>
      <c r="AP86" s="22" t="s">
        <v>58</v>
      </c>
      <c r="AQ86" s="12">
        <v>0.18859999999999999</v>
      </c>
      <c r="AR86" s="23"/>
      <c r="AS86" s="24"/>
      <c r="AT86" s="9" t="s">
        <v>58</v>
      </c>
      <c r="AU86" s="9">
        <v>1.9E-3</v>
      </c>
      <c r="AV86" s="9"/>
      <c r="AW86" s="9"/>
      <c r="AX86" s="9" t="s">
        <v>58</v>
      </c>
      <c r="AY86" s="9">
        <v>0.4143</v>
      </c>
      <c r="AZ86" s="9"/>
      <c r="BA86" s="9"/>
      <c r="BB86" s="9" t="s">
        <v>58</v>
      </c>
      <c r="BC86" s="9">
        <v>0.30499999999999999</v>
      </c>
      <c r="BD86" s="9"/>
      <c r="BE86" s="9"/>
      <c r="BF86" s="9" t="s">
        <v>58</v>
      </c>
      <c r="BG86" s="9">
        <v>6.7000000000000002E-3</v>
      </c>
      <c r="BH86" s="9"/>
      <c r="BI86" s="9"/>
      <c r="BJ86" s="9" t="s">
        <v>58</v>
      </c>
      <c r="BK86" s="9">
        <v>2.7300000000000001E-2</v>
      </c>
      <c r="BL86" s="9"/>
      <c r="BM86" s="9"/>
    </row>
    <row r="87" spans="1:65" ht="15.6" thickTop="1" thickBot="1" x14ac:dyDescent="0.35">
      <c r="A87" s="39"/>
      <c r="B87" s="35">
        <v>2019</v>
      </c>
      <c r="C87" s="35">
        <v>519151</v>
      </c>
      <c r="D87" s="35">
        <v>50</v>
      </c>
      <c r="E87" s="16">
        <f t="shared" si="26"/>
        <v>9.631109253377149</v>
      </c>
      <c r="F87" s="17">
        <f t="shared" si="27"/>
        <v>2.2649984064430688</v>
      </c>
      <c r="G87" s="27"/>
      <c r="H87" s="19"/>
      <c r="I87" s="28"/>
      <c r="J87" s="28"/>
      <c r="K87" s="76"/>
      <c r="L87" s="35">
        <v>259807</v>
      </c>
      <c r="M87" s="35">
        <v>196</v>
      </c>
      <c r="N87" s="16">
        <f t="shared" si="28"/>
        <v>75.440615533838582</v>
      </c>
      <c r="O87" s="17">
        <f t="shared" si="29"/>
        <v>4.3233457975421619</v>
      </c>
      <c r="P87" s="27"/>
      <c r="Q87" s="19"/>
      <c r="R87" s="28"/>
      <c r="S87" s="28"/>
      <c r="T87" s="76"/>
      <c r="U87" s="35">
        <v>97745</v>
      </c>
      <c r="V87" s="35">
        <v>511</v>
      </c>
      <c r="W87" s="16">
        <f t="shared" si="30"/>
        <v>522.78888945726123</v>
      </c>
      <c r="X87" s="17">
        <f t="shared" si="31"/>
        <v>6.2591777295297133</v>
      </c>
      <c r="Y87" s="82"/>
      <c r="Z87" s="83"/>
      <c r="AA87" s="28"/>
      <c r="AB87" s="28"/>
      <c r="AC87" s="76"/>
      <c r="AD87" s="22" t="s">
        <v>60</v>
      </c>
      <c r="AE87" s="22">
        <v>-0.23</v>
      </c>
      <c r="AF87" s="23"/>
      <c r="AG87" s="24"/>
      <c r="AH87" s="22" t="s">
        <v>60</v>
      </c>
      <c r="AI87" s="12">
        <v>-0.22989999999999999</v>
      </c>
      <c r="AJ87" s="23"/>
      <c r="AK87" s="24"/>
      <c r="AL87" s="22" t="s">
        <v>60</v>
      </c>
      <c r="AM87" s="12">
        <v>0.26150000000000001</v>
      </c>
      <c r="AN87" s="23"/>
      <c r="AO87" s="25"/>
      <c r="AP87" s="22" t="s">
        <v>60</v>
      </c>
      <c r="AQ87" s="12">
        <v>-1.43E-2</v>
      </c>
      <c r="AR87" s="23"/>
      <c r="AS87" s="24"/>
      <c r="AT87" s="9" t="s">
        <v>60</v>
      </c>
      <c r="AU87" s="9">
        <v>-0.24759999999999999</v>
      </c>
      <c r="AV87" s="9"/>
      <c r="AW87" s="9"/>
      <c r="AX87" s="9" t="s">
        <v>60</v>
      </c>
      <c r="AY87" s="9">
        <v>0.26779999999999998</v>
      </c>
      <c r="AZ87" s="9"/>
      <c r="BA87" s="9"/>
      <c r="BB87" s="9" t="s">
        <v>60</v>
      </c>
      <c r="BC87" s="9">
        <v>0.1313</v>
      </c>
      <c r="BD87" s="9"/>
      <c r="BE87" s="9"/>
      <c r="BF87" s="9" t="s">
        <v>60</v>
      </c>
      <c r="BG87" s="9">
        <v>-0.24160000000000001</v>
      </c>
      <c r="BH87" s="9"/>
      <c r="BI87" s="9"/>
      <c r="BJ87" s="9" t="s">
        <v>60</v>
      </c>
      <c r="BK87" s="9">
        <v>-0.21590000000000001</v>
      </c>
      <c r="BL87" s="9"/>
      <c r="BM87" s="9"/>
    </row>
    <row r="88" spans="1:65" ht="15.6" thickTop="1" thickBot="1" x14ac:dyDescent="0.35">
      <c r="A88" s="39"/>
      <c r="B88" s="35">
        <v>2020</v>
      </c>
      <c r="C88" s="35">
        <v>533071</v>
      </c>
      <c r="D88" s="35">
        <v>29</v>
      </c>
      <c r="E88" s="16">
        <f t="shared" si="26"/>
        <v>5.4401758865141794</v>
      </c>
      <c r="F88" s="17">
        <f t="shared" si="27"/>
        <v>1.6938113924249931</v>
      </c>
      <c r="G88" s="27"/>
      <c r="H88" s="19"/>
      <c r="I88" s="28"/>
      <c r="J88" s="28"/>
      <c r="K88" s="76"/>
      <c r="L88" s="35">
        <v>271587</v>
      </c>
      <c r="M88" s="35">
        <v>202</v>
      </c>
      <c r="N88" s="16">
        <f t="shared" si="28"/>
        <v>74.377639577741206</v>
      </c>
      <c r="O88" s="17">
        <f t="shared" si="29"/>
        <v>4.3091553533569247</v>
      </c>
      <c r="P88" s="27"/>
      <c r="Q88" s="19"/>
      <c r="R88" s="28"/>
      <c r="S88" s="28"/>
      <c r="T88" s="76"/>
      <c r="U88" s="35">
        <v>101614</v>
      </c>
      <c r="V88" s="35">
        <v>481</v>
      </c>
      <c r="W88" s="16">
        <f t="shared" si="30"/>
        <v>473.35997008286256</v>
      </c>
      <c r="X88" s="17">
        <f t="shared" si="31"/>
        <v>6.1598561351667778</v>
      </c>
      <c r="Y88" s="82"/>
      <c r="Z88" s="83"/>
      <c r="AA88" s="28"/>
      <c r="AB88" s="28"/>
      <c r="AC88" s="76"/>
      <c r="AD88" s="22" t="s">
        <v>62</v>
      </c>
      <c r="AE88" s="22">
        <v>0.1265</v>
      </c>
      <c r="AF88" s="23"/>
      <c r="AG88" s="24"/>
      <c r="AH88" s="22" t="s">
        <v>62</v>
      </c>
      <c r="AI88" s="12">
        <v>0.1268</v>
      </c>
      <c r="AJ88" s="23"/>
      <c r="AK88" s="24"/>
      <c r="AL88" s="22" t="s">
        <v>62</v>
      </c>
      <c r="AM88" s="12">
        <v>0.63970000000000005</v>
      </c>
      <c r="AN88" s="23"/>
      <c r="AO88" s="25"/>
      <c r="AP88" s="22" t="s">
        <v>62</v>
      </c>
      <c r="AQ88" s="12">
        <v>0.43419999999999997</v>
      </c>
      <c r="AR88" s="23"/>
      <c r="AS88" s="24"/>
      <c r="AT88" s="9" t="s">
        <v>62</v>
      </c>
      <c r="AU88" s="9">
        <v>4.3799999999999999E-2</v>
      </c>
      <c r="AV88" s="9"/>
      <c r="AW88" s="9"/>
      <c r="AX88" s="9" t="s">
        <v>62</v>
      </c>
      <c r="AY88" s="9">
        <v>0.64359999999999995</v>
      </c>
      <c r="AZ88" s="9"/>
      <c r="BA88" s="9"/>
      <c r="BB88" s="9" t="s">
        <v>62</v>
      </c>
      <c r="BC88" s="9">
        <v>0.55230000000000001</v>
      </c>
      <c r="BD88" s="9"/>
      <c r="BE88" s="9"/>
      <c r="BF88" s="9" t="s">
        <v>62</v>
      </c>
      <c r="BG88" s="9">
        <v>8.1799999999999998E-2</v>
      </c>
      <c r="BH88" s="9"/>
      <c r="BI88" s="9"/>
      <c r="BJ88" s="9" t="s">
        <v>62</v>
      </c>
      <c r="BK88" s="9">
        <v>0.16520000000000001</v>
      </c>
      <c r="BL88" s="9"/>
      <c r="BM88" s="9"/>
    </row>
    <row r="89" spans="1:65" ht="15.6" thickTop="1" thickBot="1" x14ac:dyDescent="0.35">
      <c r="A89" s="44"/>
      <c r="B89" s="35">
        <v>2021</v>
      </c>
      <c r="C89" s="35">
        <v>544732</v>
      </c>
      <c r="D89" s="35">
        <v>58</v>
      </c>
      <c r="E89" s="16">
        <f t="shared" si="26"/>
        <v>10.647437639059207</v>
      </c>
      <c r="F89" s="17">
        <f t="shared" si="27"/>
        <v>2.3653192659358315</v>
      </c>
      <c r="G89" s="31"/>
      <c r="H89" s="19"/>
      <c r="I89" s="32"/>
      <c r="J89" s="32"/>
      <c r="K89" s="77"/>
      <c r="L89" s="35">
        <v>282441</v>
      </c>
      <c r="M89" s="35">
        <v>200</v>
      </c>
      <c r="N89" s="16">
        <f t="shared" si="28"/>
        <v>70.811249075028059</v>
      </c>
      <c r="O89" s="17">
        <f t="shared" si="29"/>
        <v>4.26001787331926</v>
      </c>
      <c r="P89" s="31"/>
      <c r="Q89" s="19"/>
      <c r="R89" s="32"/>
      <c r="S89" s="32"/>
      <c r="T89" s="77"/>
      <c r="U89" s="35">
        <v>104323</v>
      </c>
      <c r="V89" s="35">
        <v>526</v>
      </c>
      <c r="W89" s="16">
        <f t="shared" si="30"/>
        <v>504.20329169981693</v>
      </c>
      <c r="X89" s="17">
        <f t="shared" si="31"/>
        <v>6.222979543292241</v>
      </c>
      <c r="Y89" s="84"/>
      <c r="Z89" s="85"/>
      <c r="AA89" s="32"/>
      <c r="AB89" s="32"/>
      <c r="AC89" s="77"/>
      <c r="AD89" s="22" t="s">
        <v>64</v>
      </c>
      <c r="AE89" s="78">
        <v>1.7573000000000001</v>
      </c>
      <c r="AF89" s="23" t="s">
        <v>203</v>
      </c>
      <c r="AG89" s="24" t="s">
        <v>204</v>
      </c>
      <c r="AH89" s="22" t="s">
        <v>64</v>
      </c>
      <c r="AI89" s="12">
        <v>4.2140000000000004</v>
      </c>
      <c r="AJ89" s="23" t="s">
        <v>205</v>
      </c>
      <c r="AK89" s="24" t="s">
        <v>66</v>
      </c>
      <c r="AL89" s="22" t="s">
        <v>64</v>
      </c>
      <c r="AM89" s="12">
        <v>6.07</v>
      </c>
      <c r="AN89" s="23" t="s">
        <v>206</v>
      </c>
      <c r="AO89" s="25" t="s">
        <v>66</v>
      </c>
      <c r="AP89" s="22" t="s">
        <v>64</v>
      </c>
      <c r="AQ89" s="12">
        <v>1.8027</v>
      </c>
      <c r="AR89" s="23" t="s">
        <v>207</v>
      </c>
      <c r="AS89" s="24" t="s">
        <v>208</v>
      </c>
      <c r="AT89" s="9" t="s">
        <v>64</v>
      </c>
      <c r="AU89" s="9">
        <v>4.2927</v>
      </c>
      <c r="AV89" s="9" t="s">
        <v>209</v>
      </c>
      <c r="AW89" s="9" t="s">
        <v>66</v>
      </c>
      <c r="AX89" s="9" t="s">
        <v>64</v>
      </c>
      <c r="AY89" s="9">
        <v>6.0766999999999998</v>
      </c>
      <c r="AZ89" s="9" t="s">
        <v>210</v>
      </c>
      <c r="BA89" s="9" t="s">
        <v>66</v>
      </c>
      <c r="BB89" s="9" t="s">
        <v>64</v>
      </c>
      <c r="BC89" s="9">
        <v>1.4826999999999999</v>
      </c>
      <c r="BD89" s="9" t="s">
        <v>211</v>
      </c>
      <c r="BE89" s="9" t="s">
        <v>66</v>
      </c>
      <c r="BF89" s="9" t="s">
        <v>64</v>
      </c>
      <c r="BG89" s="9">
        <v>4.0446999999999997</v>
      </c>
      <c r="BH89" s="9" t="s">
        <v>212</v>
      </c>
      <c r="BI89" s="9" t="s">
        <v>66</v>
      </c>
      <c r="BJ89" s="9" t="s">
        <v>64</v>
      </c>
      <c r="BK89" s="9">
        <v>6.1287000000000003</v>
      </c>
      <c r="BL89" s="9" t="s">
        <v>213</v>
      </c>
      <c r="BM89" s="9" t="s">
        <v>66</v>
      </c>
    </row>
    <row r="90" spans="1:65" ht="15.6" thickTop="1" thickBot="1" x14ac:dyDescent="0.35">
      <c r="A90" s="14" t="s">
        <v>76</v>
      </c>
      <c r="B90" s="15">
        <v>2016</v>
      </c>
      <c r="C90" s="15">
        <v>248707</v>
      </c>
      <c r="D90" s="15">
        <v>10</v>
      </c>
      <c r="E90" s="16">
        <f t="shared" si="26"/>
        <v>4.0207955546084344</v>
      </c>
      <c r="F90" s="17">
        <f t="shared" si="27"/>
        <v>1.3914797822078018</v>
      </c>
      <c r="G90" s="18">
        <v>3.9699999999999999E-2</v>
      </c>
      <c r="H90" s="19">
        <f t="shared" si="32"/>
        <v>4.0498577791932</v>
      </c>
      <c r="I90" s="20">
        <f>(EXP(-0.043) - 1) * 100</f>
        <v>-4.2088609932969367</v>
      </c>
      <c r="J90" s="20">
        <f>(EXP(0.123) - 1) * 100</f>
        <v>13.088442094748931</v>
      </c>
      <c r="K90" s="72">
        <v>0.25569999999999998</v>
      </c>
      <c r="L90" s="15">
        <v>112526</v>
      </c>
      <c r="M90" s="15">
        <v>70</v>
      </c>
      <c r="N90" s="16">
        <f t="shared" si="28"/>
        <v>62.207845297975581</v>
      </c>
      <c r="O90" s="17">
        <f t="shared" si="29"/>
        <v>4.130481121983923</v>
      </c>
      <c r="P90" s="18">
        <v>-5.1000000000000004E-3</v>
      </c>
      <c r="Q90" s="19">
        <f t="shared" si="24"/>
        <v>-0.5087017080340428</v>
      </c>
      <c r="R90" s="20">
        <f>(EXP(-0.092) - 1) * 100</f>
        <v>-8.789485045490963</v>
      </c>
      <c r="S90" s="20">
        <f>(EXP(0.082) - 1) * 100</f>
        <v>8.5455809829549025</v>
      </c>
      <c r="T90" s="72">
        <v>0.87749999999999995</v>
      </c>
      <c r="U90" s="15">
        <v>39672</v>
      </c>
      <c r="V90" s="15">
        <v>180</v>
      </c>
      <c r="W90" s="16">
        <f t="shared" si="30"/>
        <v>453.72050816696918</v>
      </c>
      <c r="X90" s="17">
        <f t="shared" si="31"/>
        <v>6.1174813876914689</v>
      </c>
      <c r="Y90" s="80">
        <v>-6.3E-3</v>
      </c>
      <c r="Z90" s="81">
        <f t="shared" si="25"/>
        <v>-0.62801966089452987</v>
      </c>
      <c r="AA90" s="20">
        <f>(EXP(-0.058) - 1) * 100</f>
        <v>-5.6350052563201469</v>
      </c>
      <c r="AB90" s="20">
        <f>(EXP(0.046) - 1) * 100</f>
        <v>4.7074410956937207</v>
      </c>
      <c r="AC90" s="72">
        <v>0.75439999999999996</v>
      </c>
      <c r="AD90" s="22" t="s">
        <v>77</v>
      </c>
      <c r="AE90" s="12">
        <v>1.46E-2</v>
      </c>
      <c r="AF90" s="23" t="s">
        <v>214</v>
      </c>
      <c r="AG90" s="24" t="s">
        <v>215</v>
      </c>
      <c r="AH90" s="22" t="s">
        <v>77</v>
      </c>
      <c r="AI90" s="12">
        <v>-6.8999999999999999E-3</v>
      </c>
      <c r="AJ90" s="23" t="s">
        <v>216</v>
      </c>
      <c r="AK90" s="24" t="s">
        <v>217</v>
      </c>
      <c r="AL90" s="22" t="s">
        <v>77</v>
      </c>
      <c r="AM90" s="12">
        <v>1.8599999999999998E-2</v>
      </c>
      <c r="AN90" s="23" t="s">
        <v>218</v>
      </c>
      <c r="AO90" s="25" t="s">
        <v>219</v>
      </c>
      <c r="AP90" s="22" t="s">
        <v>77</v>
      </c>
      <c r="AQ90" s="12">
        <v>6.54E-2</v>
      </c>
      <c r="AR90" s="23" t="s">
        <v>220</v>
      </c>
      <c r="AS90" s="24" t="s">
        <v>221</v>
      </c>
      <c r="AT90" s="9" t="s">
        <v>77</v>
      </c>
      <c r="AU90" s="9">
        <v>1.1000000000000001E-3</v>
      </c>
      <c r="AV90" s="9" t="s">
        <v>222</v>
      </c>
      <c r="AW90" s="9" t="s">
        <v>223</v>
      </c>
      <c r="AX90" s="9" t="s">
        <v>77</v>
      </c>
      <c r="AY90" s="9">
        <v>2.5700000000000001E-2</v>
      </c>
      <c r="AZ90" s="9" t="s">
        <v>224</v>
      </c>
      <c r="BA90" s="9" t="s">
        <v>225</v>
      </c>
      <c r="BB90" s="9" t="s">
        <v>77</v>
      </c>
      <c r="BC90" s="9">
        <v>3.9699999999999999E-2</v>
      </c>
      <c r="BD90" s="9" t="s">
        <v>226</v>
      </c>
      <c r="BE90" s="9" t="s">
        <v>227</v>
      </c>
      <c r="BF90" s="9" t="s">
        <v>77</v>
      </c>
      <c r="BG90" s="9">
        <v>-5.1000000000000004E-3</v>
      </c>
      <c r="BH90" s="9" t="s">
        <v>228</v>
      </c>
      <c r="BI90" s="9" t="s">
        <v>229</v>
      </c>
      <c r="BJ90" s="9" t="s">
        <v>77</v>
      </c>
      <c r="BK90" s="9">
        <v>-6.3E-3</v>
      </c>
      <c r="BL90" s="9" t="s">
        <v>230</v>
      </c>
      <c r="BM90" s="9" t="s">
        <v>231</v>
      </c>
    </row>
    <row r="91" spans="1:65" ht="15.6" thickTop="1" thickBot="1" x14ac:dyDescent="0.35">
      <c r="A91" s="26"/>
      <c r="B91" s="15">
        <v>2017</v>
      </c>
      <c r="C91" s="15">
        <v>260760</v>
      </c>
      <c r="D91" s="15">
        <v>15</v>
      </c>
      <c r="E91" s="16">
        <f t="shared" si="26"/>
        <v>5.7524160147261849</v>
      </c>
      <c r="F91" s="17">
        <f t="shared" si="27"/>
        <v>1.7496199430339627</v>
      </c>
      <c r="G91" s="27"/>
      <c r="H91" s="19"/>
      <c r="I91" s="28"/>
      <c r="J91" s="28"/>
      <c r="K91" s="73"/>
      <c r="L91" s="15">
        <v>119163</v>
      </c>
      <c r="M91" s="15">
        <v>64</v>
      </c>
      <c r="N91" s="16">
        <f t="shared" si="28"/>
        <v>53.707946258486274</v>
      </c>
      <c r="O91" s="17">
        <f t="shared" si="29"/>
        <v>3.9835609655859621</v>
      </c>
      <c r="P91" s="27"/>
      <c r="Q91" s="19"/>
      <c r="R91" s="28"/>
      <c r="S91" s="28"/>
      <c r="T91" s="73"/>
      <c r="U91" s="15">
        <v>41770</v>
      </c>
      <c r="V91" s="15">
        <v>192</v>
      </c>
      <c r="W91" s="16">
        <f t="shared" si="30"/>
        <v>459.6600430931291</v>
      </c>
      <c r="X91" s="17">
        <f t="shared" si="31"/>
        <v>6.1304871795067895</v>
      </c>
      <c r="Y91" s="82"/>
      <c r="Z91" s="83"/>
      <c r="AA91" s="28"/>
      <c r="AB91" s="28"/>
      <c r="AC91" s="73"/>
      <c r="AD91" s="22" t="s">
        <v>97</v>
      </c>
      <c r="AE91" s="12" t="s">
        <v>232</v>
      </c>
      <c r="AF91" s="23"/>
      <c r="AG91" s="24"/>
      <c r="AH91" s="22" t="s">
        <v>97</v>
      </c>
      <c r="AI91" s="12" t="s">
        <v>233</v>
      </c>
      <c r="AJ91" s="23"/>
      <c r="AK91" s="24"/>
      <c r="AL91" s="22" t="s">
        <v>97</v>
      </c>
      <c r="AM91" s="12" t="s">
        <v>234</v>
      </c>
      <c r="AN91" s="23"/>
      <c r="AO91" s="25"/>
      <c r="AP91" s="22" t="s">
        <v>97</v>
      </c>
      <c r="AQ91" s="12" t="s">
        <v>235</v>
      </c>
      <c r="AR91" s="23"/>
      <c r="AS91" s="24"/>
      <c r="AT91" s="9" t="s">
        <v>97</v>
      </c>
      <c r="AU91" s="9" t="s">
        <v>236</v>
      </c>
      <c r="AV91" s="9"/>
      <c r="AW91" s="9"/>
      <c r="AX91" s="9" t="s">
        <v>97</v>
      </c>
      <c r="AY91" s="9" t="s">
        <v>237</v>
      </c>
      <c r="AZ91" s="9"/>
      <c r="BA91" s="9"/>
      <c r="BB91" s="9" t="s">
        <v>97</v>
      </c>
      <c r="BC91" s="9" t="s">
        <v>238</v>
      </c>
      <c r="BD91" s="9"/>
      <c r="BE91" s="9"/>
      <c r="BF91" s="9" t="s">
        <v>97</v>
      </c>
      <c r="BG91" s="9" t="s">
        <v>239</v>
      </c>
      <c r="BH91" s="9"/>
      <c r="BI91" s="9"/>
      <c r="BJ91" s="9" t="s">
        <v>97</v>
      </c>
      <c r="BK91" s="9" t="s">
        <v>240</v>
      </c>
      <c r="BL91" s="9"/>
      <c r="BM91" s="9"/>
    </row>
    <row r="92" spans="1:65" ht="15.6" thickTop="1" thickBot="1" x14ac:dyDescent="0.35">
      <c r="A92" s="26"/>
      <c r="B92" s="15">
        <v>2018</v>
      </c>
      <c r="C92" s="15">
        <v>273079</v>
      </c>
      <c r="D92" s="15">
        <v>14</v>
      </c>
      <c r="E92" s="16">
        <f t="shared" si="26"/>
        <v>5.1267215714134</v>
      </c>
      <c r="F92" s="17">
        <f t="shared" si="27"/>
        <v>1.634466384990545</v>
      </c>
      <c r="G92" s="27"/>
      <c r="H92" s="19"/>
      <c r="I92" s="28"/>
      <c r="J92" s="28"/>
      <c r="K92" s="73"/>
      <c r="L92" s="15">
        <v>126424</v>
      </c>
      <c r="M92" s="15">
        <v>69</v>
      </c>
      <c r="N92" s="16">
        <f t="shared" si="28"/>
        <v>54.578244637094222</v>
      </c>
      <c r="O92" s="17">
        <f t="shared" si="29"/>
        <v>3.9996353534785483</v>
      </c>
      <c r="P92" s="27"/>
      <c r="Q92" s="19"/>
      <c r="R92" s="28"/>
      <c r="S92" s="28"/>
      <c r="T92" s="73"/>
      <c r="U92" s="15">
        <v>44061</v>
      </c>
      <c r="V92" s="15">
        <v>213</v>
      </c>
      <c r="W92" s="16">
        <f t="shared" si="30"/>
        <v>483.42071219445768</v>
      </c>
      <c r="X92" s="17">
        <f t="shared" si="31"/>
        <v>6.1808873142576815</v>
      </c>
      <c r="Y92" s="82"/>
      <c r="Z92" s="83"/>
      <c r="AA92" s="28"/>
      <c r="AB92" s="28"/>
      <c r="AC92" s="73"/>
      <c r="AD92" s="22" t="s">
        <v>107</v>
      </c>
      <c r="AE92" s="12" t="s">
        <v>241</v>
      </c>
      <c r="AF92" s="23"/>
      <c r="AG92" s="24"/>
      <c r="AH92" s="22" t="s">
        <v>107</v>
      </c>
      <c r="AI92" s="12" t="s">
        <v>242</v>
      </c>
      <c r="AJ92" s="23"/>
      <c r="AK92" s="24"/>
      <c r="AL92" s="22" t="s">
        <v>107</v>
      </c>
      <c r="AM92" s="12" t="s">
        <v>243</v>
      </c>
      <c r="AN92" s="23"/>
      <c r="AO92" s="25"/>
      <c r="AP92" s="22" t="s">
        <v>107</v>
      </c>
      <c r="AQ92" s="12" t="s">
        <v>244</v>
      </c>
      <c r="AR92" s="23"/>
      <c r="AS92" s="24"/>
      <c r="AT92" s="9" t="s">
        <v>107</v>
      </c>
      <c r="AU92" s="9" t="s">
        <v>245</v>
      </c>
      <c r="AV92" s="9"/>
      <c r="AW92" s="9"/>
      <c r="AX92" s="9" t="s">
        <v>107</v>
      </c>
      <c r="AY92" s="9" t="s">
        <v>246</v>
      </c>
      <c r="AZ92" s="9"/>
      <c r="BA92" s="9"/>
      <c r="BB92" s="9" t="s">
        <v>107</v>
      </c>
      <c r="BC92" s="9" t="s">
        <v>247</v>
      </c>
      <c r="BD92" s="9"/>
      <c r="BE92" s="9"/>
      <c r="BF92" s="9" t="s">
        <v>107</v>
      </c>
      <c r="BG92" s="9" t="s">
        <v>248</v>
      </c>
      <c r="BH92" s="9"/>
      <c r="BI92" s="9"/>
      <c r="BJ92" s="9" t="s">
        <v>107</v>
      </c>
      <c r="BK92" s="9" t="s">
        <v>249</v>
      </c>
      <c r="BL92" s="9"/>
      <c r="BM92" s="9"/>
    </row>
    <row r="93" spans="1:65" ht="15.6" thickTop="1" thickBot="1" x14ac:dyDescent="0.35">
      <c r="A93" s="26"/>
      <c r="B93" s="15">
        <v>2019</v>
      </c>
      <c r="C93" s="15">
        <v>285831</v>
      </c>
      <c r="D93" s="15">
        <v>14</v>
      </c>
      <c r="E93" s="16">
        <f t="shared" si="26"/>
        <v>4.8979991673401413</v>
      </c>
      <c r="F93" s="17">
        <f t="shared" si="27"/>
        <v>1.5888267885299905</v>
      </c>
      <c r="G93" s="27"/>
      <c r="H93" s="19"/>
      <c r="I93" s="28"/>
      <c r="J93" s="28"/>
      <c r="K93" s="73"/>
      <c r="L93" s="15">
        <v>134218</v>
      </c>
      <c r="M93" s="15">
        <v>76</v>
      </c>
      <c r="N93" s="16">
        <f t="shared" si="28"/>
        <v>56.624297784201822</v>
      </c>
      <c r="O93" s="17">
        <f t="shared" si="29"/>
        <v>4.0364381825643045</v>
      </c>
      <c r="P93" s="27"/>
      <c r="Q93" s="19"/>
      <c r="R93" s="28"/>
      <c r="S93" s="28"/>
      <c r="T93" s="73"/>
      <c r="U93" s="15">
        <v>46546</v>
      </c>
      <c r="V93" s="15">
        <v>190</v>
      </c>
      <c r="W93" s="16">
        <f t="shared" si="30"/>
        <v>408.19834142568641</v>
      </c>
      <c r="X93" s="17">
        <f t="shared" si="31"/>
        <v>6.0117531872261045</v>
      </c>
      <c r="Y93" s="82"/>
      <c r="Z93" s="83"/>
      <c r="AA93" s="28"/>
      <c r="AB93" s="28"/>
      <c r="AC93" s="73"/>
      <c r="AD93" s="22" t="s">
        <v>117</v>
      </c>
      <c r="AE93" s="12" t="s">
        <v>118</v>
      </c>
      <c r="AF93" s="23"/>
      <c r="AG93" s="24"/>
      <c r="AH93" s="22" t="s">
        <v>117</v>
      </c>
      <c r="AI93" s="12" t="s">
        <v>118</v>
      </c>
      <c r="AJ93" s="23"/>
      <c r="AK93" s="24"/>
      <c r="AL93" s="22" t="s">
        <v>117</v>
      </c>
      <c r="AM93" s="12" t="s">
        <v>118</v>
      </c>
      <c r="AN93" s="23"/>
      <c r="AO93" s="25"/>
      <c r="AP93" s="22" t="s">
        <v>117</v>
      </c>
      <c r="AQ93" s="12" t="s">
        <v>118</v>
      </c>
      <c r="AR93" s="23"/>
      <c r="AS93" s="24"/>
      <c r="AT93" s="9" t="s">
        <v>117</v>
      </c>
      <c r="AU93" s="9" t="s">
        <v>118</v>
      </c>
      <c r="AV93" s="9"/>
      <c r="AW93" s="9"/>
      <c r="AX93" s="9" t="s">
        <v>117</v>
      </c>
      <c r="AY93" s="9" t="s">
        <v>118</v>
      </c>
      <c r="AZ93" s="9"/>
      <c r="BA93" s="9"/>
      <c r="BB93" s="9" t="s">
        <v>117</v>
      </c>
      <c r="BC93" s="9" t="s">
        <v>118</v>
      </c>
      <c r="BD93" s="9"/>
      <c r="BE93" s="9"/>
      <c r="BF93" s="9" t="s">
        <v>117</v>
      </c>
      <c r="BG93" s="9" t="s">
        <v>118</v>
      </c>
      <c r="BH93" s="9"/>
      <c r="BI93" s="9"/>
      <c r="BJ93" s="9" t="s">
        <v>117</v>
      </c>
      <c r="BK93" s="9" t="s">
        <v>118</v>
      </c>
      <c r="BL93" s="9"/>
      <c r="BM93" s="9"/>
    </row>
    <row r="94" spans="1:65" ht="15.6" thickTop="1" thickBot="1" x14ac:dyDescent="0.35">
      <c r="A94" s="26"/>
      <c r="B94" s="15">
        <v>2020</v>
      </c>
      <c r="C94" s="15">
        <v>298644</v>
      </c>
      <c r="D94" s="15">
        <v>15</v>
      </c>
      <c r="E94" s="16">
        <f t="shared" si="26"/>
        <v>5.0227026158235226</v>
      </c>
      <c r="F94" s="17">
        <f t="shared" si="27"/>
        <v>1.6139681585206322</v>
      </c>
      <c r="G94" s="27"/>
      <c r="H94" s="19"/>
      <c r="I94" s="28"/>
      <c r="J94" s="28"/>
      <c r="K94" s="73"/>
      <c r="L94" s="15">
        <v>142159</v>
      </c>
      <c r="M94" s="15">
        <v>66</v>
      </c>
      <c r="N94" s="16">
        <f t="shared" si="28"/>
        <v>46.426888202646332</v>
      </c>
      <c r="O94" s="17">
        <f t="shared" si="29"/>
        <v>3.8378787785203805</v>
      </c>
      <c r="P94" s="27"/>
      <c r="Q94" s="19"/>
      <c r="R94" s="28"/>
      <c r="S94" s="28"/>
      <c r="T94" s="73"/>
      <c r="U94" s="15">
        <v>48965</v>
      </c>
      <c r="V94" s="15">
        <v>204</v>
      </c>
      <c r="W94" s="16">
        <f t="shared" si="30"/>
        <v>416.62411926886551</v>
      </c>
      <c r="X94" s="17">
        <f t="shared" si="31"/>
        <v>6.03218442265955</v>
      </c>
      <c r="Y94" s="82"/>
      <c r="Z94" s="83"/>
      <c r="AA94" s="28"/>
      <c r="AB94" s="28"/>
      <c r="AC94" s="73"/>
    </row>
    <row r="95" spans="1:65" ht="15.6" thickTop="1" thickBot="1" x14ac:dyDescent="0.35">
      <c r="A95" s="30"/>
      <c r="B95" s="15">
        <v>2021</v>
      </c>
      <c r="C95" s="15">
        <v>310722</v>
      </c>
      <c r="D95" s="15">
        <v>18</v>
      </c>
      <c r="E95" s="16">
        <f t="shared" si="26"/>
        <v>5.7929596230714271</v>
      </c>
      <c r="F95" s="17">
        <f t="shared" si="27"/>
        <v>1.7566433221387774</v>
      </c>
      <c r="G95" s="31"/>
      <c r="H95" s="19"/>
      <c r="I95" s="32"/>
      <c r="J95" s="32"/>
      <c r="K95" s="74"/>
      <c r="L95" s="15">
        <v>149577</v>
      </c>
      <c r="M95" s="15">
        <v>97</v>
      </c>
      <c r="N95" s="16">
        <f t="shared" si="28"/>
        <v>64.849542376167463</v>
      </c>
      <c r="O95" s="17">
        <f t="shared" si="29"/>
        <v>4.1720698540863204</v>
      </c>
      <c r="P95" s="31"/>
      <c r="Q95" s="19"/>
      <c r="R95" s="32"/>
      <c r="S95" s="32"/>
      <c r="T95" s="74"/>
      <c r="U95" s="15">
        <v>50935</v>
      </c>
      <c r="V95" s="15">
        <v>243</v>
      </c>
      <c r="W95" s="16">
        <f t="shared" si="30"/>
        <v>477.07862962599393</v>
      </c>
      <c r="X95" s="17">
        <f t="shared" si="31"/>
        <v>6.1676813192866105</v>
      </c>
      <c r="Y95" s="84"/>
      <c r="Z95" s="85"/>
      <c r="AA95" s="32"/>
      <c r="AB95" s="32"/>
      <c r="AC95" s="74"/>
    </row>
    <row r="97" spans="7:25" x14ac:dyDescent="0.3">
      <c r="G97" s="9"/>
      <c r="R97" s="9"/>
      <c r="Y97" s="9"/>
    </row>
  </sheetData>
  <mergeCells count="214">
    <mergeCell ref="Y90:Y95"/>
    <mergeCell ref="Z90:Z95"/>
    <mergeCell ref="AA90:AA95"/>
    <mergeCell ref="AB90:AB95"/>
    <mergeCell ref="AC90:AC95"/>
    <mergeCell ref="K90:K95"/>
    <mergeCell ref="P90:P95"/>
    <mergeCell ref="Q90:Q95"/>
    <mergeCell ref="R90:R95"/>
    <mergeCell ref="S90:S95"/>
    <mergeCell ref="T90:T95"/>
    <mergeCell ref="Y84:Y89"/>
    <mergeCell ref="Z84:Z89"/>
    <mergeCell ref="AA84:AA89"/>
    <mergeCell ref="AB84:AB89"/>
    <mergeCell ref="AC84:AC89"/>
    <mergeCell ref="A90:A95"/>
    <mergeCell ref="G90:G95"/>
    <mergeCell ref="H90:H95"/>
    <mergeCell ref="I90:I95"/>
    <mergeCell ref="J90:J95"/>
    <mergeCell ref="K84:K89"/>
    <mergeCell ref="P84:P89"/>
    <mergeCell ref="Q84:Q89"/>
    <mergeCell ref="R84:R89"/>
    <mergeCell ref="S84:S89"/>
    <mergeCell ref="T84:T89"/>
    <mergeCell ref="Y78:Y83"/>
    <mergeCell ref="Z78:Z83"/>
    <mergeCell ref="AA78:AA83"/>
    <mergeCell ref="AB78:AB83"/>
    <mergeCell ref="AC78:AC83"/>
    <mergeCell ref="A84:A89"/>
    <mergeCell ref="G84:G89"/>
    <mergeCell ref="H84:H89"/>
    <mergeCell ref="I84:I89"/>
    <mergeCell ref="J84:J89"/>
    <mergeCell ref="K78:K83"/>
    <mergeCell ref="P78:P83"/>
    <mergeCell ref="Q78:Q83"/>
    <mergeCell ref="R78:R83"/>
    <mergeCell ref="S78:S83"/>
    <mergeCell ref="T78:T83"/>
    <mergeCell ref="BJ75:BM75"/>
    <mergeCell ref="A76:B76"/>
    <mergeCell ref="C76:K76"/>
    <mergeCell ref="L76:T76"/>
    <mergeCell ref="U76:AC76"/>
    <mergeCell ref="A78:A83"/>
    <mergeCell ref="G78:G83"/>
    <mergeCell ref="H78:H83"/>
    <mergeCell ref="I78:I83"/>
    <mergeCell ref="J78:J83"/>
    <mergeCell ref="AL75:AO75"/>
    <mergeCell ref="AP75:AS75"/>
    <mergeCell ref="AT75:AW75"/>
    <mergeCell ref="AX75:BA75"/>
    <mergeCell ref="BB75:BE75"/>
    <mergeCell ref="BF75:BI75"/>
    <mergeCell ref="AA52:AA57"/>
    <mergeCell ref="AB52:AB57"/>
    <mergeCell ref="AC52:AC57"/>
    <mergeCell ref="C75:AC75"/>
    <mergeCell ref="AD75:AG75"/>
    <mergeCell ref="AH75:AK75"/>
    <mergeCell ref="Q52:Q57"/>
    <mergeCell ref="R52:R57"/>
    <mergeCell ref="S52:S57"/>
    <mergeCell ref="T52:T57"/>
    <mergeCell ref="Y52:Y57"/>
    <mergeCell ref="Z52:Z57"/>
    <mergeCell ref="AA46:AA51"/>
    <mergeCell ref="AB46:AB51"/>
    <mergeCell ref="AC46:AC51"/>
    <mergeCell ref="A52:A57"/>
    <mergeCell ref="G52:G57"/>
    <mergeCell ref="H52:H57"/>
    <mergeCell ref="I52:I57"/>
    <mergeCell ref="J52:J57"/>
    <mergeCell ref="K52:K57"/>
    <mergeCell ref="P52:P57"/>
    <mergeCell ref="Q46:Q51"/>
    <mergeCell ref="R46:R51"/>
    <mergeCell ref="S46:S51"/>
    <mergeCell ref="T46:T51"/>
    <mergeCell ref="Y46:Y51"/>
    <mergeCell ref="Z46:Z51"/>
    <mergeCell ref="AA40:AA45"/>
    <mergeCell ref="AB40:AB45"/>
    <mergeCell ref="AC40:AC45"/>
    <mergeCell ref="A46:A51"/>
    <mergeCell ref="G46:G51"/>
    <mergeCell ref="H46:H51"/>
    <mergeCell ref="I46:I51"/>
    <mergeCell ref="J46:J51"/>
    <mergeCell ref="K46:K51"/>
    <mergeCell ref="P46:P51"/>
    <mergeCell ref="Q40:Q45"/>
    <mergeCell ref="R40:R45"/>
    <mergeCell ref="S40:S45"/>
    <mergeCell ref="T40:T45"/>
    <mergeCell ref="Y40:Y45"/>
    <mergeCell ref="Z40:Z45"/>
    <mergeCell ref="BB38:BE38"/>
    <mergeCell ref="BF38:BI38"/>
    <mergeCell ref="BJ38:BM38"/>
    <mergeCell ref="A40:A45"/>
    <mergeCell ref="G40:G45"/>
    <mergeCell ref="H40:H45"/>
    <mergeCell ref="I40:I45"/>
    <mergeCell ref="J40:J45"/>
    <mergeCell ref="K40:K45"/>
    <mergeCell ref="P40:P45"/>
    <mergeCell ref="AD38:AG38"/>
    <mergeCell ref="AH38:AK38"/>
    <mergeCell ref="AL38:AO38"/>
    <mergeCell ref="AP38:AS38"/>
    <mergeCell ref="AT38:AW38"/>
    <mergeCell ref="AX38:BA38"/>
    <mergeCell ref="AB16:AB21"/>
    <mergeCell ref="AC16:AC21"/>
    <mergeCell ref="B37:AC37"/>
    <mergeCell ref="A38:B38"/>
    <mergeCell ref="C38:K38"/>
    <mergeCell ref="L38:T38"/>
    <mergeCell ref="U38:AC38"/>
    <mergeCell ref="R16:R21"/>
    <mergeCell ref="S16:S21"/>
    <mergeCell ref="T16:T21"/>
    <mergeCell ref="Y16:Y21"/>
    <mergeCell ref="Z16:Z21"/>
    <mergeCell ref="AA16:AA21"/>
    <mergeCell ref="AB10:AB15"/>
    <mergeCell ref="AC10:AC15"/>
    <mergeCell ref="A16:A21"/>
    <mergeCell ref="G16:G21"/>
    <mergeCell ref="H16:H21"/>
    <mergeCell ref="I16:I21"/>
    <mergeCell ref="J16:J21"/>
    <mergeCell ref="K16:K21"/>
    <mergeCell ref="P16:P21"/>
    <mergeCell ref="Q16:Q21"/>
    <mergeCell ref="R10:R15"/>
    <mergeCell ref="S10:S15"/>
    <mergeCell ref="T10:T15"/>
    <mergeCell ref="Y10:Y15"/>
    <mergeCell ref="Z10:Z15"/>
    <mergeCell ref="AA10:AA15"/>
    <mergeCell ref="AB4:AB9"/>
    <mergeCell ref="AC4:AC9"/>
    <mergeCell ref="A10:A15"/>
    <mergeCell ref="G10:G15"/>
    <mergeCell ref="H10:H15"/>
    <mergeCell ref="I10:I15"/>
    <mergeCell ref="J10:J15"/>
    <mergeCell ref="K10:K15"/>
    <mergeCell ref="P10:P15"/>
    <mergeCell ref="Q10:Q15"/>
    <mergeCell ref="R4:R9"/>
    <mergeCell ref="S4:S9"/>
    <mergeCell ref="T4:T9"/>
    <mergeCell ref="Y4:Y9"/>
    <mergeCell ref="Z4:Z9"/>
    <mergeCell ref="AA4:AA9"/>
    <mergeCell ref="AB2:AB3"/>
    <mergeCell ref="AC2:AC3"/>
    <mergeCell ref="A4:A9"/>
    <mergeCell ref="G4:G9"/>
    <mergeCell ref="H4:H9"/>
    <mergeCell ref="I4:I9"/>
    <mergeCell ref="J4:J9"/>
    <mergeCell ref="K4:K9"/>
    <mergeCell ref="P4:P9"/>
    <mergeCell ref="Q4:Q9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S2:S3"/>
    <mergeCell ref="T2:T3"/>
    <mergeCell ref="U2:U3"/>
    <mergeCell ref="J2:J3"/>
    <mergeCell ref="K2:K3"/>
    <mergeCell ref="L2:L3"/>
    <mergeCell ref="M2:M3"/>
    <mergeCell ref="N2:N3"/>
    <mergeCell ref="O2:O3"/>
    <mergeCell ref="BJ1:B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L1:AO1"/>
    <mergeCell ref="AP1:AS1"/>
    <mergeCell ref="AT1:AW1"/>
    <mergeCell ref="AX1:BA1"/>
    <mergeCell ref="BB1:BE1"/>
    <mergeCell ref="BF1:BI1"/>
    <mergeCell ref="A1:B1"/>
    <mergeCell ref="C1:K1"/>
    <mergeCell ref="L1:T1"/>
    <mergeCell ref="U1:AC1"/>
    <mergeCell ref="AD1:AG1"/>
    <mergeCell ref="AH1:AK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Nathalya Rocha</dc:creator>
  <cp:lastModifiedBy>Nathalya Rocha</cp:lastModifiedBy>
  <dcterms:created xsi:type="dcterms:W3CDTF">2026-01-20T20:47:10Z</dcterms:created>
  <dcterms:modified xsi:type="dcterms:W3CDTF">2026-01-20T20:47:33Z</dcterms:modified>
</cp:coreProperties>
</file>