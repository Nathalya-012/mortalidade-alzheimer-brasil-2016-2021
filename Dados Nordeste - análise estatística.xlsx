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f14be7dba2fa50b/Documentos/faculdade/tcc/Github/"/>
    </mc:Choice>
  </mc:AlternateContent>
  <xr:revisionPtr revIDLastSave="0" documentId="8_{E3F82D55-523B-4422-A538-45991771C3EA}" xr6:coauthVersionLast="47" xr6:coauthVersionMax="47" xr10:uidLastSave="{00000000-0000-0000-0000-000000000000}"/>
  <bookViews>
    <workbookView xWindow="-108" yWindow="-108" windowWidth="23256" windowHeight="12456" xr2:uid="{974E3AAC-9971-4904-A7BF-3CEDBB3CE91D}"/>
  </bookViews>
  <sheets>
    <sheet name="nord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8" i="1" l="1"/>
  <c r="X178" i="1" s="1"/>
  <c r="N178" i="1"/>
  <c r="O178" i="1" s="1"/>
  <c r="E178" i="1"/>
  <c r="F178" i="1" s="1"/>
  <c r="W177" i="1"/>
  <c r="X177" i="1" s="1"/>
  <c r="O177" i="1"/>
  <c r="N177" i="1"/>
  <c r="F177" i="1"/>
  <c r="E177" i="1"/>
  <c r="X176" i="1"/>
  <c r="W176" i="1"/>
  <c r="O176" i="1"/>
  <c r="N176" i="1"/>
  <c r="F176" i="1"/>
  <c r="E176" i="1"/>
  <c r="X175" i="1"/>
  <c r="W175" i="1"/>
  <c r="O175" i="1"/>
  <c r="N175" i="1"/>
  <c r="F175" i="1"/>
  <c r="E175" i="1"/>
  <c r="X174" i="1"/>
  <c r="W174" i="1"/>
  <c r="O174" i="1"/>
  <c r="N174" i="1"/>
  <c r="F174" i="1"/>
  <c r="E174" i="1"/>
  <c r="AB173" i="1"/>
  <c r="AA173" i="1"/>
  <c r="Z173" i="1"/>
  <c r="W173" i="1"/>
  <c r="X173" i="1" s="1"/>
  <c r="S173" i="1"/>
  <c r="R173" i="1"/>
  <c r="Q173" i="1"/>
  <c r="N173" i="1"/>
  <c r="O173" i="1" s="1"/>
  <c r="J173" i="1"/>
  <c r="I173" i="1"/>
  <c r="H173" i="1"/>
  <c r="E173" i="1"/>
  <c r="F173" i="1" s="1"/>
  <c r="X172" i="1"/>
  <c r="W172" i="1"/>
  <c r="N172" i="1"/>
  <c r="O172" i="1" s="1"/>
  <c r="E172" i="1"/>
  <c r="F172" i="1" s="1"/>
  <c r="W171" i="1"/>
  <c r="X171" i="1" s="1"/>
  <c r="O171" i="1"/>
  <c r="N171" i="1"/>
  <c r="E171" i="1"/>
  <c r="F171" i="1" s="1"/>
  <c r="W170" i="1"/>
  <c r="X170" i="1" s="1"/>
  <c r="N170" i="1"/>
  <c r="O170" i="1" s="1"/>
  <c r="F170" i="1"/>
  <c r="E170" i="1"/>
  <c r="W169" i="1"/>
  <c r="X169" i="1" s="1"/>
  <c r="N169" i="1"/>
  <c r="O169" i="1" s="1"/>
  <c r="E169" i="1"/>
  <c r="F169" i="1" s="1"/>
  <c r="X168" i="1"/>
  <c r="W168" i="1"/>
  <c r="N168" i="1"/>
  <c r="O168" i="1" s="1"/>
  <c r="E168" i="1"/>
  <c r="F168" i="1" s="1"/>
  <c r="AB167" i="1"/>
  <c r="AA167" i="1"/>
  <c r="Z167" i="1"/>
  <c r="W167" i="1"/>
  <c r="X167" i="1" s="1"/>
  <c r="S167" i="1"/>
  <c r="R167" i="1"/>
  <c r="Q167" i="1"/>
  <c r="N167" i="1"/>
  <c r="O167" i="1" s="1"/>
  <c r="J167" i="1"/>
  <c r="I167" i="1"/>
  <c r="H167" i="1"/>
  <c r="F167" i="1"/>
  <c r="E167" i="1"/>
  <c r="X166" i="1"/>
  <c r="W166" i="1"/>
  <c r="N166" i="1"/>
  <c r="O166" i="1" s="1"/>
  <c r="E166" i="1"/>
  <c r="F166" i="1" s="1"/>
  <c r="X165" i="1"/>
  <c r="W165" i="1"/>
  <c r="O165" i="1"/>
  <c r="N165" i="1"/>
  <c r="E165" i="1"/>
  <c r="F165" i="1" s="1"/>
  <c r="W164" i="1"/>
  <c r="X164" i="1" s="1"/>
  <c r="O164" i="1"/>
  <c r="N164" i="1"/>
  <c r="F164" i="1"/>
  <c r="E164" i="1"/>
  <c r="W163" i="1"/>
  <c r="X163" i="1" s="1"/>
  <c r="N163" i="1"/>
  <c r="O163" i="1" s="1"/>
  <c r="F163" i="1"/>
  <c r="E163" i="1"/>
  <c r="X162" i="1"/>
  <c r="W162" i="1"/>
  <c r="N162" i="1"/>
  <c r="O162" i="1" s="1"/>
  <c r="E162" i="1"/>
  <c r="F162" i="1" s="1"/>
  <c r="AB161" i="1"/>
  <c r="AA161" i="1"/>
  <c r="Z161" i="1"/>
  <c r="W161" i="1"/>
  <c r="X161" i="1" s="1"/>
  <c r="S161" i="1"/>
  <c r="R161" i="1"/>
  <c r="Q161" i="1"/>
  <c r="O161" i="1"/>
  <c r="N161" i="1"/>
  <c r="J161" i="1"/>
  <c r="I161" i="1"/>
  <c r="H161" i="1"/>
  <c r="F161" i="1"/>
  <c r="E161" i="1"/>
  <c r="W160" i="1"/>
  <c r="X160" i="1" s="1"/>
  <c r="N160" i="1"/>
  <c r="O160" i="1" s="1"/>
  <c r="E160" i="1"/>
  <c r="F160" i="1" s="1"/>
  <c r="X159" i="1"/>
  <c r="W159" i="1"/>
  <c r="N159" i="1"/>
  <c r="O159" i="1" s="1"/>
  <c r="E159" i="1"/>
  <c r="F159" i="1" s="1"/>
  <c r="W158" i="1"/>
  <c r="X158" i="1" s="1"/>
  <c r="O158" i="1"/>
  <c r="N158" i="1"/>
  <c r="E158" i="1"/>
  <c r="F158" i="1" s="1"/>
  <c r="W157" i="1"/>
  <c r="X157" i="1" s="1"/>
  <c r="N157" i="1"/>
  <c r="O157" i="1" s="1"/>
  <c r="F157" i="1"/>
  <c r="E157" i="1"/>
  <c r="W156" i="1"/>
  <c r="X156" i="1" s="1"/>
  <c r="N156" i="1"/>
  <c r="O156" i="1" s="1"/>
  <c r="E156" i="1"/>
  <c r="F156" i="1" s="1"/>
  <c r="AB155" i="1"/>
  <c r="AA155" i="1"/>
  <c r="Z155" i="1"/>
  <c r="X155" i="1"/>
  <c r="W155" i="1"/>
  <c r="S155" i="1"/>
  <c r="R155" i="1"/>
  <c r="Q155" i="1"/>
  <c r="O155" i="1"/>
  <c r="N155" i="1"/>
  <c r="J155" i="1"/>
  <c r="I155" i="1"/>
  <c r="H155" i="1"/>
  <c r="F155" i="1"/>
  <c r="E155" i="1"/>
  <c r="W154" i="1"/>
  <c r="X154" i="1" s="1"/>
  <c r="N154" i="1"/>
  <c r="O154" i="1" s="1"/>
  <c r="F154" i="1"/>
  <c r="E154" i="1"/>
  <c r="X153" i="1"/>
  <c r="W153" i="1"/>
  <c r="N153" i="1"/>
  <c r="O153" i="1" s="1"/>
  <c r="E153" i="1"/>
  <c r="F153" i="1" s="1"/>
  <c r="X152" i="1"/>
  <c r="W152" i="1"/>
  <c r="N152" i="1"/>
  <c r="O152" i="1" s="1"/>
  <c r="E152" i="1"/>
  <c r="F152" i="1" s="1"/>
  <c r="W151" i="1"/>
  <c r="X151" i="1" s="1"/>
  <c r="O151" i="1"/>
  <c r="N151" i="1"/>
  <c r="E151" i="1"/>
  <c r="F151" i="1" s="1"/>
  <c r="W150" i="1"/>
  <c r="X150" i="1" s="1"/>
  <c r="N150" i="1"/>
  <c r="O150" i="1" s="1"/>
  <c r="F150" i="1"/>
  <c r="E150" i="1"/>
  <c r="AB149" i="1"/>
  <c r="AA149" i="1"/>
  <c r="Z149" i="1"/>
  <c r="X149" i="1"/>
  <c r="W149" i="1"/>
  <c r="S149" i="1"/>
  <c r="R149" i="1"/>
  <c r="Q149" i="1"/>
  <c r="O149" i="1"/>
  <c r="N149" i="1"/>
  <c r="J149" i="1"/>
  <c r="I149" i="1"/>
  <c r="H149" i="1"/>
  <c r="E149" i="1"/>
  <c r="F149" i="1" s="1"/>
  <c r="W148" i="1"/>
  <c r="X148" i="1" s="1"/>
  <c r="N148" i="1"/>
  <c r="O148" i="1" s="1"/>
  <c r="F148" i="1"/>
  <c r="E148" i="1"/>
  <c r="W147" i="1"/>
  <c r="X147" i="1" s="1"/>
  <c r="N147" i="1"/>
  <c r="O147" i="1" s="1"/>
  <c r="E147" i="1"/>
  <c r="F147" i="1" s="1"/>
  <c r="X146" i="1"/>
  <c r="W146" i="1"/>
  <c r="N146" i="1"/>
  <c r="O146" i="1" s="1"/>
  <c r="E146" i="1"/>
  <c r="F146" i="1" s="1"/>
  <c r="W145" i="1"/>
  <c r="X145" i="1" s="1"/>
  <c r="O145" i="1"/>
  <c r="N145" i="1"/>
  <c r="E145" i="1"/>
  <c r="F145" i="1" s="1"/>
  <c r="W144" i="1"/>
  <c r="X144" i="1" s="1"/>
  <c r="N144" i="1"/>
  <c r="O144" i="1" s="1"/>
  <c r="F144" i="1"/>
  <c r="E144" i="1"/>
  <c r="AB143" i="1"/>
  <c r="AA143" i="1"/>
  <c r="Z143" i="1"/>
  <c r="X143" i="1"/>
  <c r="W143" i="1"/>
  <c r="S143" i="1"/>
  <c r="R143" i="1"/>
  <c r="Q143" i="1"/>
  <c r="N143" i="1"/>
  <c r="O143" i="1" s="1"/>
  <c r="J143" i="1"/>
  <c r="I143" i="1"/>
  <c r="H143" i="1"/>
  <c r="E143" i="1"/>
  <c r="F143" i="1" s="1"/>
  <c r="W142" i="1"/>
  <c r="X142" i="1" s="1"/>
  <c r="O142" i="1"/>
  <c r="N142" i="1"/>
  <c r="E142" i="1"/>
  <c r="F142" i="1" s="1"/>
  <c r="W141" i="1"/>
  <c r="X141" i="1" s="1"/>
  <c r="N141" i="1"/>
  <c r="O141" i="1" s="1"/>
  <c r="F141" i="1"/>
  <c r="E141" i="1"/>
  <c r="W140" i="1"/>
  <c r="X140" i="1" s="1"/>
  <c r="N140" i="1"/>
  <c r="O140" i="1" s="1"/>
  <c r="E140" i="1"/>
  <c r="F140" i="1" s="1"/>
  <c r="X139" i="1"/>
  <c r="W139" i="1"/>
  <c r="N139" i="1"/>
  <c r="O139" i="1" s="1"/>
  <c r="E139" i="1"/>
  <c r="F139" i="1" s="1"/>
  <c r="W138" i="1"/>
  <c r="X138" i="1" s="1"/>
  <c r="O138" i="1"/>
  <c r="N138" i="1"/>
  <c r="E138" i="1"/>
  <c r="F138" i="1" s="1"/>
  <c r="AB137" i="1"/>
  <c r="AA137" i="1"/>
  <c r="Z137" i="1"/>
  <c r="W137" i="1"/>
  <c r="X137" i="1" s="1"/>
  <c r="S137" i="1"/>
  <c r="R137" i="1"/>
  <c r="Q137" i="1"/>
  <c r="N137" i="1"/>
  <c r="O137" i="1" s="1"/>
  <c r="J137" i="1"/>
  <c r="I137" i="1"/>
  <c r="H137" i="1"/>
  <c r="F137" i="1"/>
  <c r="E137" i="1"/>
  <c r="W136" i="1"/>
  <c r="X136" i="1" s="1"/>
  <c r="O136" i="1"/>
  <c r="N136" i="1"/>
  <c r="E136" i="1"/>
  <c r="F136" i="1" s="1"/>
  <c r="X135" i="1"/>
  <c r="W135" i="1"/>
  <c r="N135" i="1"/>
  <c r="O135" i="1" s="1"/>
  <c r="F135" i="1"/>
  <c r="E135" i="1"/>
  <c r="W134" i="1"/>
  <c r="X134" i="1" s="1"/>
  <c r="O134" i="1"/>
  <c r="N134" i="1"/>
  <c r="E134" i="1"/>
  <c r="F134" i="1" s="1"/>
  <c r="X133" i="1"/>
  <c r="W133" i="1"/>
  <c r="N133" i="1"/>
  <c r="O133" i="1" s="1"/>
  <c r="E133" i="1"/>
  <c r="F133" i="1" s="1"/>
  <c r="W132" i="1"/>
  <c r="X132" i="1" s="1"/>
  <c r="O132" i="1"/>
  <c r="N132" i="1"/>
  <c r="E132" i="1"/>
  <c r="F132" i="1" s="1"/>
  <c r="AB131" i="1"/>
  <c r="AA131" i="1"/>
  <c r="Z131" i="1"/>
  <c r="W131" i="1"/>
  <c r="X131" i="1" s="1"/>
  <c r="S131" i="1"/>
  <c r="R131" i="1"/>
  <c r="Q131" i="1"/>
  <c r="N131" i="1"/>
  <c r="O131" i="1" s="1"/>
  <c r="J131" i="1"/>
  <c r="I131" i="1"/>
  <c r="H131" i="1"/>
  <c r="E131" i="1"/>
  <c r="F131" i="1" s="1"/>
  <c r="X130" i="1"/>
  <c r="W130" i="1"/>
  <c r="N130" i="1"/>
  <c r="O130" i="1" s="1"/>
  <c r="E130" i="1"/>
  <c r="F130" i="1" s="1"/>
  <c r="W129" i="1"/>
  <c r="X129" i="1" s="1"/>
  <c r="O129" i="1"/>
  <c r="N129" i="1"/>
  <c r="E129" i="1"/>
  <c r="F129" i="1" s="1"/>
  <c r="W128" i="1"/>
  <c r="X128" i="1" s="1"/>
  <c r="N128" i="1"/>
  <c r="O128" i="1" s="1"/>
  <c r="F128" i="1"/>
  <c r="E128" i="1"/>
  <c r="W127" i="1"/>
  <c r="X127" i="1" s="1"/>
  <c r="N127" i="1"/>
  <c r="O127" i="1" s="1"/>
  <c r="E127" i="1"/>
  <c r="F127" i="1" s="1"/>
  <c r="X126" i="1"/>
  <c r="W126" i="1"/>
  <c r="N126" i="1"/>
  <c r="O126" i="1" s="1"/>
  <c r="E126" i="1"/>
  <c r="F126" i="1" s="1"/>
  <c r="AB125" i="1"/>
  <c r="AA125" i="1"/>
  <c r="Z125" i="1"/>
  <c r="W125" i="1"/>
  <c r="X125" i="1" s="1"/>
  <c r="S125" i="1"/>
  <c r="R125" i="1"/>
  <c r="Q125" i="1"/>
  <c r="N125" i="1"/>
  <c r="O125" i="1" s="1"/>
  <c r="J125" i="1"/>
  <c r="I125" i="1"/>
  <c r="H125" i="1"/>
  <c r="E125" i="1"/>
  <c r="F125" i="1" s="1"/>
  <c r="X117" i="1"/>
  <c r="W117" i="1"/>
  <c r="N117" i="1"/>
  <c r="O117" i="1" s="1"/>
  <c r="E117" i="1"/>
  <c r="F117" i="1" s="1"/>
  <c r="W116" i="1"/>
  <c r="X116" i="1" s="1"/>
  <c r="O116" i="1"/>
  <c r="N116" i="1"/>
  <c r="E116" i="1"/>
  <c r="F116" i="1" s="1"/>
  <c r="W115" i="1"/>
  <c r="X115" i="1" s="1"/>
  <c r="N115" i="1"/>
  <c r="O115" i="1" s="1"/>
  <c r="F115" i="1"/>
  <c r="E115" i="1"/>
  <c r="W114" i="1"/>
  <c r="X114" i="1" s="1"/>
  <c r="N114" i="1"/>
  <c r="O114" i="1" s="1"/>
  <c r="E114" i="1"/>
  <c r="F114" i="1" s="1"/>
  <c r="X113" i="1"/>
  <c r="W113" i="1"/>
  <c r="N113" i="1"/>
  <c r="O113" i="1" s="1"/>
  <c r="E113" i="1"/>
  <c r="F113" i="1" s="1"/>
  <c r="AB112" i="1"/>
  <c r="AA112" i="1"/>
  <c r="Z112" i="1"/>
  <c r="W112" i="1"/>
  <c r="X112" i="1" s="1"/>
  <c r="S112" i="1"/>
  <c r="R112" i="1"/>
  <c r="Q112" i="1"/>
  <c r="N112" i="1"/>
  <c r="O112" i="1" s="1"/>
  <c r="J112" i="1"/>
  <c r="I112" i="1"/>
  <c r="H112" i="1"/>
  <c r="F112" i="1"/>
  <c r="E112" i="1"/>
  <c r="W111" i="1"/>
  <c r="X111" i="1" s="1"/>
  <c r="N111" i="1"/>
  <c r="O111" i="1" s="1"/>
  <c r="E111" i="1"/>
  <c r="F111" i="1" s="1"/>
  <c r="X110" i="1"/>
  <c r="W110" i="1"/>
  <c r="N110" i="1"/>
  <c r="O110" i="1" s="1"/>
  <c r="E110" i="1"/>
  <c r="F110" i="1" s="1"/>
  <c r="W109" i="1"/>
  <c r="X109" i="1" s="1"/>
  <c r="O109" i="1"/>
  <c r="N109" i="1"/>
  <c r="E109" i="1"/>
  <c r="F109" i="1" s="1"/>
  <c r="W108" i="1"/>
  <c r="X108" i="1" s="1"/>
  <c r="N108" i="1"/>
  <c r="O108" i="1" s="1"/>
  <c r="F108" i="1"/>
  <c r="E108" i="1"/>
  <c r="W107" i="1"/>
  <c r="X107" i="1" s="1"/>
  <c r="N107" i="1"/>
  <c r="O107" i="1" s="1"/>
  <c r="E107" i="1"/>
  <c r="F107" i="1" s="1"/>
  <c r="AB106" i="1"/>
  <c r="AA106" i="1"/>
  <c r="Z106" i="1"/>
  <c r="W106" i="1"/>
  <c r="X106" i="1" s="1"/>
  <c r="S106" i="1"/>
  <c r="R106" i="1"/>
  <c r="Q106" i="1"/>
  <c r="O106" i="1"/>
  <c r="N106" i="1"/>
  <c r="J106" i="1"/>
  <c r="I106" i="1"/>
  <c r="H106" i="1"/>
  <c r="F106" i="1"/>
  <c r="E106" i="1"/>
  <c r="W105" i="1"/>
  <c r="X105" i="1" s="1"/>
  <c r="N105" i="1"/>
  <c r="O105" i="1" s="1"/>
  <c r="E105" i="1"/>
  <c r="F105" i="1" s="1"/>
  <c r="X104" i="1"/>
  <c r="W104" i="1"/>
  <c r="N104" i="1"/>
  <c r="O104" i="1" s="1"/>
  <c r="E104" i="1"/>
  <c r="F104" i="1" s="1"/>
  <c r="W103" i="1"/>
  <c r="X103" i="1" s="1"/>
  <c r="O103" i="1"/>
  <c r="N103" i="1"/>
  <c r="E103" i="1"/>
  <c r="F103" i="1" s="1"/>
  <c r="W102" i="1"/>
  <c r="X102" i="1" s="1"/>
  <c r="N102" i="1"/>
  <c r="O102" i="1" s="1"/>
  <c r="F102" i="1"/>
  <c r="E102" i="1"/>
  <c r="W101" i="1"/>
  <c r="X101" i="1" s="1"/>
  <c r="N101" i="1"/>
  <c r="O101" i="1" s="1"/>
  <c r="E101" i="1"/>
  <c r="F101" i="1" s="1"/>
  <c r="AB100" i="1"/>
  <c r="AA100" i="1"/>
  <c r="Z100" i="1"/>
  <c r="X100" i="1"/>
  <c r="W100" i="1"/>
  <c r="S100" i="1"/>
  <c r="R100" i="1"/>
  <c r="Q100" i="1"/>
  <c r="O100" i="1"/>
  <c r="N100" i="1"/>
  <c r="J100" i="1"/>
  <c r="I100" i="1"/>
  <c r="H100" i="1"/>
  <c r="E100" i="1"/>
  <c r="F100" i="1" s="1"/>
  <c r="W99" i="1"/>
  <c r="X99" i="1" s="1"/>
  <c r="N99" i="1"/>
  <c r="O99" i="1" s="1"/>
  <c r="F99" i="1"/>
  <c r="E99" i="1"/>
  <c r="W98" i="1"/>
  <c r="X98" i="1" s="1"/>
  <c r="N98" i="1"/>
  <c r="O98" i="1" s="1"/>
  <c r="E98" i="1"/>
  <c r="F98" i="1" s="1"/>
  <c r="X97" i="1"/>
  <c r="W97" i="1"/>
  <c r="N97" i="1"/>
  <c r="O97" i="1" s="1"/>
  <c r="E97" i="1"/>
  <c r="F97" i="1" s="1"/>
  <c r="W96" i="1"/>
  <c r="X96" i="1" s="1"/>
  <c r="O96" i="1"/>
  <c r="N96" i="1"/>
  <c r="E96" i="1"/>
  <c r="F96" i="1" s="1"/>
  <c r="W95" i="1"/>
  <c r="X95" i="1" s="1"/>
  <c r="N95" i="1"/>
  <c r="O95" i="1" s="1"/>
  <c r="F95" i="1"/>
  <c r="E95" i="1"/>
  <c r="AB94" i="1"/>
  <c r="AA94" i="1"/>
  <c r="Z94" i="1"/>
  <c r="X94" i="1"/>
  <c r="W94" i="1"/>
  <c r="S94" i="1"/>
  <c r="R94" i="1"/>
  <c r="Q94" i="1"/>
  <c r="N94" i="1"/>
  <c r="O94" i="1" s="1"/>
  <c r="J94" i="1"/>
  <c r="I94" i="1"/>
  <c r="H94" i="1"/>
  <c r="E94" i="1"/>
  <c r="F94" i="1" s="1"/>
  <c r="X93" i="1"/>
  <c r="W93" i="1"/>
  <c r="N93" i="1"/>
  <c r="O93" i="1" s="1"/>
  <c r="F93" i="1"/>
  <c r="E93" i="1"/>
  <c r="W92" i="1"/>
  <c r="X92" i="1" s="1"/>
  <c r="O92" i="1"/>
  <c r="N92" i="1"/>
  <c r="E92" i="1"/>
  <c r="F92" i="1" s="1"/>
  <c r="X91" i="1"/>
  <c r="W91" i="1"/>
  <c r="N91" i="1"/>
  <c r="O91" i="1" s="1"/>
  <c r="E91" i="1"/>
  <c r="F91" i="1" s="1"/>
  <c r="W90" i="1"/>
  <c r="X90" i="1" s="1"/>
  <c r="O90" i="1"/>
  <c r="N90" i="1"/>
  <c r="E90" i="1"/>
  <c r="F90" i="1" s="1"/>
  <c r="W89" i="1"/>
  <c r="X89" i="1" s="1"/>
  <c r="N89" i="1"/>
  <c r="O89" i="1" s="1"/>
  <c r="F89" i="1"/>
  <c r="E89" i="1"/>
  <c r="AB88" i="1"/>
  <c r="AA88" i="1"/>
  <c r="Z88" i="1"/>
  <c r="W88" i="1"/>
  <c r="X88" i="1" s="1"/>
  <c r="S88" i="1"/>
  <c r="R88" i="1"/>
  <c r="Q88" i="1"/>
  <c r="N88" i="1"/>
  <c r="O88" i="1" s="1"/>
  <c r="J88" i="1"/>
  <c r="I88" i="1"/>
  <c r="H88" i="1"/>
  <c r="E88" i="1"/>
  <c r="F88" i="1" s="1"/>
  <c r="W87" i="1"/>
  <c r="X87" i="1" s="1"/>
  <c r="O87" i="1"/>
  <c r="N87" i="1"/>
  <c r="E87" i="1"/>
  <c r="F87" i="1" s="1"/>
  <c r="W86" i="1"/>
  <c r="X86" i="1" s="1"/>
  <c r="N86" i="1"/>
  <c r="O86" i="1" s="1"/>
  <c r="F86" i="1"/>
  <c r="E86" i="1"/>
  <c r="W85" i="1"/>
  <c r="X85" i="1" s="1"/>
  <c r="N85" i="1"/>
  <c r="O85" i="1" s="1"/>
  <c r="E85" i="1"/>
  <c r="F85" i="1" s="1"/>
  <c r="X84" i="1"/>
  <c r="W84" i="1"/>
  <c r="N84" i="1"/>
  <c r="O84" i="1" s="1"/>
  <c r="E84" i="1"/>
  <c r="F84" i="1" s="1"/>
  <c r="W83" i="1"/>
  <c r="X83" i="1" s="1"/>
  <c r="O83" i="1"/>
  <c r="N83" i="1"/>
  <c r="E83" i="1"/>
  <c r="F83" i="1" s="1"/>
  <c r="AB82" i="1"/>
  <c r="AA82" i="1"/>
  <c r="Z82" i="1"/>
  <c r="W82" i="1"/>
  <c r="X82" i="1" s="1"/>
  <c r="S82" i="1"/>
  <c r="R82" i="1"/>
  <c r="Q82" i="1"/>
  <c r="N82" i="1"/>
  <c r="O82" i="1" s="1"/>
  <c r="J82" i="1"/>
  <c r="I82" i="1"/>
  <c r="H82" i="1"/>
  <c r="F82" i="1"/>
  <c r="E82" i="1"/>
  <c r="W81" i="1"/>
  <c r="X81" i="1" s="1"/>
  <c r="O81" i="1"/>
  <c r="N81" i="1"/>
  <c r="E81" i="1"/>
  <c r="F81" i="1" s="1"/>
  <c r="W80" i="1"/>
  <c r="X80" i="1" s="1"/>
  <c r="N80" i="1"/>
  <c r="O80" i="1" s="1"/>
  <c r="F80" i="1"/>
  <c r="E80" i="1"/>
  <c r="W79" i="1"/>
  <c r="X79" i="1" s="1"/>
  <c r="N79" i="1"/>
  <c r="O79" i="1" s="1"/>
  <c r="E79" i="1"/>
  <c r="F79" i="1" s="1"/>
  <c r="X78" i="1"/>
  <c r="W78" i="1"/>
  <c r="N78" i="1"/>
  <c r="O78" i="1" s="1"/>
  <c r="E78" i="1"/>
  <c r="F78" i="1" s="1"/>
  <c r="W77" i="1"/>
  <c r="X77" i="1" s="1"/>
  <c r="O77" i="1"/>
  <c r="N77" i="1"/>
  <c r="E77" i="1"/>
  <c r="F77" i="1" s="1"/>
  <c r="AB76" i="1"/>
  <c r="AA76" i="1"/>
  <c r="Z76" i="1"/>
  <c r="W76" i="1"/>
  <c r="X76" i="1" s="1"/>
  <c r="S76" i="1"/>
  <c r="R76" i="1"/>
  <c r="Q76" i="1"/>
  <c r="N76" i="1"/>
  <c r="O76" i="1" s="1"/>
  <c r="J76" i="1"/>
  <c r="I76" i="1"/>
  <c r="H76" i="1"/>
  <c r="E76" i="1"/>
  <c r="F76" i="1" s="1"/>
  <c r="X75" i="1"/>
  <c r="W75" i="1"/>
  <c r="N75" i="1"/>
  <c r="O75" i="1" s="1"/>
  <c r="E75" i="1"/>
  <c r="F75" i="1" s="1"/>
  <c r="W74" i="1"/>
  <c r="X74" i="1" s="1"/>
  <c r="O74" i="1"/>
  <c r="N74" i="1"/>
  <c r="E74" i="1"/>
  <c r="F74" i="1" s="1"/>
  <c r="W73" i="1"/>
  <c r="X73" i="1" s="1"/>
  <c r="N73" i="1"/>
  <c r="O73" i="1" s="1"/>
  <c r="F73" i="1"/>
  <c r="E73" i="1"/>
  <c r="W72" i="1"/>
  <c r="X72" i="1" s="1"/>
  <c r="N72" i="1"/>
  <c r="O72" i="1" s="1"/>
  <c r="E72" i="1"/>
  <c r="F72" i="1" s="1"/>
  <c r="X71" i="1"/>
  <c r="W71" i="1"/>
  <c r="N71" i="1"/>
  <c r="O71" i="1" s="1"/>
  <c r="E71" i="1"/>
  <c r="F71" i="1" s="1"/>
  <c r="AB70" i="1"/>
  <c r="AA70" i="1"/>
  <c r="Z70" i="1"/>
  <c r="W70" i="1"/>
  <c r="X70" i="1" s="1"/>
  <c r="S70" i="1"/>
  <c r="R70" i="1"/>
  <c r="Q70" i="1"/>
  <c r="N70" i="1"/>
  <c r="O70" i="1" s="1"/>
  <c r="J70" i="1"/>
  <c r="I70" i="1"/>
  <c r="H70" i="1"/>
  <c r="E70" i="1"/>
  <c r="F70" i="1" s="1"/>
  <c r="X69" i="1"/>
  <c r="W69" i="1"/>
  <c r="N69" i="1"/>
  <c r="O69" i="1" s="1"/>
  <c r="E69" i="1"/>
  <c r="F69" i="1" s="1"/>
  <c r="W68" i="1"/>
  <c r="X68" i="1" s="1"/>
  <c r="O68" i="1"/>
  <c r="N68" i="1"/>
  <c r="E68" i="1"/>
  <c r="F68" i="1" s="1"/>
  <c r="W67" i="1"/>
  <c r="X67" i="1" s="1"/>
  <c r="N67" i="1"/>
  <c r="O67" i="1" s="1"/>
  <c r="F67" i="1"/>
  <c r="E67" i="1"/>
  <c r="W66" i="1"/>
  <c r="X66" i="1" s="1"/>
  <c r="N66" i="1"/>
  <c r="O66" i="1" s="1"/>
  <c r="E66" i="1"/>
  <c r="F66" i="1" s="1"/>
  <c r="X65" i="1"/>
  <c r="W65" i="1"/>
  <c r="N65" i="1"/>
  <c r="O65" i="1" s="1"/>
  <c r="E65" i="1"/>
  <c r="F65" i="1" s="1"/>
  <c r="AB64" i="1"/>
  <c r="AA64" i="1"/>
  <c r="Z64" i="1"/>
  <c r="W64" i="1"/>
  <c r="X64" i="1" s="1"/>
  <c r="S64" i="1"/>
  <c r="R64" i="1"/>
  <c r="Q64" i="1"/>
  <c r="N64" i="1"/>
  <c r="O64" i="1" s="1"/>
  <c r="J64" i="1"/>
  <c r="I64" i="1"/>
  <c r="H64" i="1"/>
  <c r="F64" i="1"/>
  <c r="E64" i="1"/>
  <c r="S56" i="1"/>
  <c r="T56" i="1" s="1"/>
  <c r="L56" i="1"/>
  <c r="M56" i="1" s="1"/>
  <c r="E56" i="1"/>
  <c r="F56" i="1" s="1"/>
  <c r="T55" i="1"/>
  <c r="S55" i="1"/>
  <c r="L55" i="1"/>
  <c r="M55" i="1" s="1"/>
  <c r="E55" i="1"/>
  <c r="F55" i="1" s="1"/>
  <c r="S54" i="1"/>
  <c r="T54" i="1" s="1"/>
  <c r="M54" i="1"/>
  <c r="L54" i="1"/>
  <c r="E54" i="1"/>
  <c r="F54" i="1" s="1"/>
  <c r="S53" i="1"/>
  <c r="T53" i="1" s="1"/>
  <c r="L53" i="1"/>
  <c r="M53" i="1" s="1"/>
  <c r="F53" i="1"/>
  <c r="E53" i="1"/>
  <c r="S52" i="1"/>
  <c r="T52" i="1" s="1"/>
  <c r="L52" i="1"/>
  <c r="M52" i="1" s="1"/>
  <c r="E52" i="1"/>
  <c r="F52" i="1" s="1"/>
  <c r="V51" i="1"/>
  <c r="S51" i="1"/>
  <c r="T51" i="1" s="1"/>
  <c r="O51" i="1"/>
  <c r="L51" i="1"/>
  <c r="M51" i="1" s="1"/>
  <c r="H51" i="1"/>
  <c r="E51" i="1"/>
  <c r="F51" i="1" s="1"/>
  <c r="S50" i="1"/>
  <c r="T50" i="1" s="1"/>
  <c r="L50" i="1"/>
  <c r="M50" i="1" s="1"/>
  <c r="F50" i="1"/>
  <c r="E50" i="1"/>
  <c r="S49" i="1"/>
  <c r="T49" i="1" s="1"/>
  <c r="L49" i="1"/>
  <c r="M49" i="1" s="1"/>
  <c r="E49" i="1"/>
  <c r="F49" i="1" s="1"/>
  <c r="T48" i="1"/>
  <c r="S48" i="1"/>
  <c r="L48" i="1"/>
  <c r="M48" i="1" s="1"/>
  <c r="E48" i="1"/>
  <c r="F48" i="1" s="1"/>
  <c r="S47" i="1"/>
  <c r="T47" i="1" s="1"/>
  <c r="M47" i="1"/>
  <c r="L47" i="1"/>
  <c r="E47" i="1"/>
  <c r="F47" i="1" s="1"/>
  <c r="S46" i="1"/>
  <c r="T46" i="1" s="1"/>
  <c r="L46" i="1"/>
  <c r="M46" i="1" s="1"/>
  <c r="F46" i="1"/>
  <c r="E46" i="1"/>
  <c r="V45" i="1"/>
  <c r="T45" i="1"/>
  <c r="S45" i="1"/>
  <c r="O45" i="1"/>
  <c r="L45" i="1"/>
  <c r="M45" i="1" s="1"/>
  <c r="H45" i="1"/>
  <c r="E45" i="1"/>
  <c r="F45" i="1" s="1"/>
  <c r="T44" i="1"/>
  <c r="S44" i="1"/>
  <c r="M44" i="1"/>
  <c r="L44" i="1"/>
  <c r="E44" i="1"/>
  <c r="F44" i="1" s="1"/>
  <c r="S43" i="1"/>
  <c r="T43" i="1" s="1"/>
  <c r="M43" i="1"/>
  <c r="L43" i="1"/>
  <c r="F43" i="1"/>
  <c r="E43" i="1"/>
  <c r="S42" i="1"/>
  <c r="T42" i="1" s="1"/>
  <c r="L42" i="1"/>
  <c r="M42" i="1" s="1"/>
  <c r="F42" i="1"/>
  <c r="E42" i="1"/>
  <c r="T41" i="1"/>
  <c r="S41" i="1"/>
  <c r="L41" i="1"/>
  <c r="M41" i="1" s="1"/>
  <c r="E41" i="1"/>
  <c r="F41" i="1" s="1"/>
  <c r="T40" i="1"/>
  <c r="S40" i="1"/>
  <c r="M40" i="1"/>
  <c r="L40" i="1"/>
  <c r="E40" i="1"/>
  <c r="F40" i="1" s="1"/>
  <c r="V39" i="1"/>
  <c r="S39" i="1"/>
  <c r="T39" i="1" s="1"/>
  <c r="O39" i="1"/>
  <c r="M39" i="1"/>
  <c r="L39" i="1"/>
  <c r="H39" i="1"/>
  <c r="F39" i="1"/>
  <c r="E39" i="1"/>
  <c r="S38" i="1"/>
  <c r="T38" i="1" s="1"/>
  <c r="L38" i="1"/>
  <c r="M38" i="1" s="1"/>
  <c r="E38" i="1"/>
  <c r="F38" i="1" s="1"/>
  <c r="T37" i="1"/>
  <c r="S37" i="1"/>
  <c r="L37" i="1"/>
  <c r="M37" i="1" s="1"/>
  <c r="E37" i="1"/>
  <c r="F37" i="1" s="1"/>
  <c r="S36" i="1"/>
  <c r="T36" i="1" s="1"/>
  <c r="M36" i="1"/>
  <c r="L36" i="1"/>
  <c r="E36" i="1"/>
  <c r="F36" i="1" s="1"/>
  <c r="S35" i="1"/>
  <c r="T35" i="1" s="1"/>
  <c r="L35" i="1"/>
  <c r="M35" i="1" s="1"/>
  <c r="F35" i="1"/>
  <c r="E35" i="1"/>
  <c r="S34" i="1"/>
  <c r="T34" i="1" s="1"/>
  <c r="L34" i="1"/>
  <c r="M34" i="1" s="1"/>
  <c r="E34" i="1"/>
  <c r="F34" i="1" s="1"/>
  <c r="V33" i="1"/>
  <c r="S33" i="1"/>
  <c r="T33" i="1" s="1"/>
  <c r="O33" i="1"/>
  <c r="L33" i="1"/>
  <c r="M33" i="1" s="1"/>
  <c r="H33" i="1"/>
  <c r="E33" i="1"/>
  <c r="F33" i="1" s="1"/>
  <c r="S32" i="1"/>
  <c r="T32" i="1" s="1"/>
  <c r="M32" i="1"/>
  <c r="L32" i="1"/>
  <c r="F32" i="1"/>
  <c r="E32" i="1"/>
  <c r="S31" i="1"/>
  <c r="T31" i="1" s="1"/>
  <c r="L31" i="1"/>
  <c r="M31" i="1" s="1"/>
  <c r="F31" i="1"/>
  <c r="E31" i="1"/>
  <c r="T30" i="1"/>
  <c r="S30" i="1"/>
  <c r="L30" i="1"/>
  <c r="M30" i="1" s="1"/>
  <c r="E30" i="1"/>
  <c r="F30" i="1" s="1"/>
  <c r="T29" i="1"/>
  <c r="S29" i="1"/>
  <c r="L29" i="1"/>
  <c r="M29" i="1" s="1"/>
  <c r="E29" i="1"/>
  <c r="F29" i="1" s="1"/>
  <c r="S28" i="1"/>
  <c r="T28" i="1" s="1"/>
  <c r="M28" i="1"/>
  <c r="L28" i="1"/>
  <c r="E28" i="1"/>
  <c r="F28" i="1" s="1"/>
  <c r="V27" i="1"/>
  <c r="T27" i="1"/>
  <c r="S27" i="1"/>
  <c r="O27" i="1"/>
  <c r="M27" i="1"/>
  <c r="L27" i="1"/>
  <c r="H27" i="1"/>
  <c r="E27" i="1"/>
  <c r="F27" i="1" s="1"/>
  <c r="T26" i="1"/>
  <c r="S26" i="1"/>
  <c r="L26" i="1"/>
  <c r="M26" i="1" s="1"/>
  <c r="E26" i="1"/>
  <c r="F26" i="1" s="1"/>
  <c r="S25" i="1"/>
  <c r="T25" i="1" s="1"/>
  <c r="M25" i="1"/>
  <c r="L25" i="1"/>
  <c r="E25" i="1"/>
  <c r="F25" i="1" s="1"/>
  <c r="S24" i="1"/>
  <c r="T24" i="1" s="1"/>
  <c r="L24" i="1"/>
  <c r="M24" i="1" s="1"/>
  <c r="F24" i="1"/>
  <c r="E24" i="1"/>
  <c r="S23" i="1"/>
  <c r="T23" i="1" s="1"/>
  <c r="L23" i="1"/>
  <c r="M23" i="1" s="1"/>
  <c r="E23" i="1"/>
  <c r="F23" i="1" s="1"/>
  <c r="T22" i="1"/>
  <c r="S22" i="1"/>
  <c r="L22" i="1"/>
  <c r="M22" i="1" s="1"/>
  <c r="E22" i="1"/>
  <c r="F22" i="1" s="1"/>
  <c r="V21" i="1"/>
  <c r="S21" i="1"/>
  <c r="T21" i="1" s="1"/>
  <c r="O21" i="1"/>
  <c r="L21" i="1"/>
  <c r="M21" i="1" s="1"/>
  <c r="H21" i="1"/>
  <c r="E21" i="1"/>
  <c r="F21" i="1" s="1"/>
  <c r="S20" i="1"/>
  <c r="T20" i="1" s="1"/>
  <c r="L20" i="1"/>
  <c r="M20" i="1" s="1"/>
  <c r="F20" i="1"/>
  <c r="E20" i="1"/>
  <c r="S19" i="1"/>
  <c r="T19" i="1" s="1"/>
  <c r="L19" i="1"/>
  <c r="M19" i="1" s="1"/>
  <c r="E19" i="1"/>
  <c r="F19" i="1" s="1"/>
  <c r="T18" i="1"/>
  <c r="S18" i="1"/>
  <c r="L18" i="1"/>
  <c r="M18" i="1" s="1"/>
  <c r="E18" i="1"/>
  <c r="F18" i="1" s="1"/>
  <c r="S17" i="1"/>
  <c r="T17" i="1" s="1"/>
  <c r="M17" i="1"/>
  <c r="L17" i="1"/>
  <c r="E17" i="1"/>
  <c r="F17" i="1" s="1"/>
  <c r="S16" i="1"/>
  <c r="T16" i="1" s="1"/>
  <c r="L16" i="1"/>
  <c r="M16" i="1" s="1"/>
  <c r="F16" i="1"/>
  <c r="E16" i="1"/>
  <c r="V15" i="1"/>
  <c r="S15" i="1"/>
  <c r="T15" i="1" s="1"/>
  <c r="O15" i="1"/>
  <c r="L15" i="1"/>
  <c r="M15" i="1" s="1"/>
  <c r="H15" i="1"/>
  <c r="E15" i="1"/>
  <c r="F15" i="1" s="1"/>
  <c r="S14" i="1"/>
  <c r="T14" i="1" s="1"/>
  <c r="M14" i="1"/>
  <c r="L14" i="1"/>
  <c r="E14" i="1"/>
  <c r="F14" i="1" s="1"/>
  <c r="S13" i="1"/>
  <c r="T13" i="1" s="1"/>
  <c r="L13" i="1"/>
  <c r="M13" i="1" s="1"/>
  <c r="F13" i="1"/>
  <c r="E13" i="1"/>
  <c r="S12" i="1"/>
  <c r="T12" i="1" s="1"/>
  <c r="L12" i="1"/>
  <c r="M12" i="1" s="1"/>
  <c r="E12" i="1"/>
  <c r="F12" i="1" s="1"/>
  <c r="T11" i="1"/>
  <c r="S11" i="1"/>
  <c r="L11" i="1"/>
  <c r="M11" i="1" s="1"/>
  <c r="E11" i="1"/>
  <c r="F11" i="1" s="1"/>
  <c r="S10" i="1"/>
  <c r="T10" i="1" s="1"/>
  <c r="M10" i="1"/>
  <c r="L10" i="1"/>
  <c r="E10" i="1"/>
  <c r="F10" i="1" s="1"/>
  <c r="V9" i="1"/>
  <c r="T9" i="1"/>
  <c r="S9" i="1"/>
  <c r="O9" i="1"/>
  <c r="M9" i="1"/>
  <c r="L9" i="1"/>
  <c r="H9" i="1"/>
  <c r="F9" i="1"/>
  <c r="E9" i="1"/>
  <c r="T8" i="1"/>
  <c r="S8" i="1"/>
  <c r="L8" i="1"/>
  <c r="M8" i="1" s="1"/>
  <c r="E8" i="1"/>
  <c r="F8" i="1" s="1"/>
  <c r="T7" i="1"/>
  <c r="S7" i="1"/>
  <c r="L7" i="1"/>
  <c r="M7" i="1" s="1"/>
  <c r="E7" i="1"/>
  <c r="F7" i="1" s="1"/>
  <c r="S6" i="1"/>
  <c r="T6" i="1" s="1"/>
  <c r="M6" i="1"/>
  <c r="L6" i="1"/>
  <c r="E6" i="1"/>
  <c r="F6" i="1" s="1"/>
  <c r="S5" i="1"/>
  <c r="T5" i="1" s="1"/>
  <c r="L5" i="1"/>
  <c r="M5" i="1" s="1"/>
  <c r="F5" i="1"/>
  <c r="E5" i="1"/>
  <c r="S4" i="1"/>
  <c r="T4" i="1" s="1"/>
  <c r="L4" i="1"/>
  <c r="M4" i="1" s="1"/>
  <c r="E4" i="1"/>
  <c r="F4" i="1" s="1"/>
  <c r="V3" i="1"/>
  <c r="T3" i="1"/>
  <c r="S3" i="1"/>
  <c r="O3" i="1"/>
  <c r="L3" i="1"/>
  <c r="M3" i="1" s="1"/>
  <c r="H3" i="1"/>
  <c r="E3" i="1"/>
  <c r="F3" i="1" s="1"/>
</calcChain>
</file>

<file path=xl/sharedStrings.xml><?xml version="1.0" encoding="utf-8"?>
<sst xmlns="http://schemas.openxmlformats.org/spreadsheetml/2006/main" count="2810" uniqueCount="707">
  <si>
    <t>Nordeste</t>
  </si>
  <si>
    <t>Geral</t>
  </si>
  <si>
    <t>Feminina</t>
  </si>
  <si>
    <t>Masculina</t>
  </si>
  <si>
    <r>
      <t xml:space="preserve">Regressão linear simples Geral </t>
    </r>
    <r>
      <rPr>
        <b/>
        <sz val="8"/>
        <color rgb="FFC00000"/>
        <rFont val="Arial Nova"/>
        <family val="2"/>
      </rPr>
      <t>Alagoas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</si>
  <si>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Alagoas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</si>
  <si>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Alagoas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</si>
  <si>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Bahia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</si>
  <si>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Bahia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</si>
  <si>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Bahia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</si>
  <si>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Ceará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</si>
  <si>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Ceará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</si>
  <si>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Ceará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</si>
  <si>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maranhão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</si>
  <si>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Maranhão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</si>
  <si>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Maranhão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</si>
  <si>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Paraíba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</si>
  <si>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Paraíba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</si>
  <si>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Paraíba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</si>
  <si>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Pernambuco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</si>
  <si>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Pernambuco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</si>
  <si>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Pernambuco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</si>
  <si>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Piauí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</si>
  <si>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Piauí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</si>
  <si>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>Piauí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</si>
  <si>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>Rio G. do Norte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</si>
  <si>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>Rio G. do Norte</t>
    </r>
  </si>
  <si>
    <r>
      <t>Regressão linear simples Geral Masculino</t>
    </r>
    <r>
      <rPr>
        <b/>
        <sz val="8"/>
        <color rgb="FFC00000"/>
        <rFont val="Arial Nova"/>
        <family val="2"/>
      </rPr>
      <t>Rio G. do Norte</t>
    </r>
  </si>
  <si>
    <r>
      <t xml:space="preserve">Regressão linear simples Geral </t>
    </r>
    <r>
      <rPr>
        <b/>
        <sz val="8"/>
        <color rgb="FFC00000"/>
        <rFont val="Arial Nova"/>
        <family val="2"/>
      </rPr>
      <t xml:space="preserve">Sergipe </t>
    </r>
  </si>
  <si>
    <r>
      <t xml:space="preserve">Regressão linear simples Geral feminino </t>
    </r>
    <r>
      <rPr>
        <b/>
        <sz val="8"/>
        <color rgb="FFC00000"/>
        <rFont val="Arial Nova"/>
        <family val="2"/>
      </rPr>
      <t xml:space="preserve">Sergipe </t>
    </r>
  </si>
  <si>
    <r>
      <t xml:space="preserve">Regressão linear simples Geral masculino </t>
    </r>
    <r>
      <rPr>
        <b/>
        <sz val="8"/>
        <color rgb="FFC00000"/>
        <rFont val="Arial Nova"/>
        <family val="2"/>
      </rPr>
      <t xml:space="preserve">Sergipe </t>
    </r>
  </si>
  <si>
    <t>Estados</t>
  </si>
  <si>
    <t>Ano</t>
  </si>
  <si>
    <t>População</t>
  </si>
  <si>
    <t>óbito</t>
  </si>
  <si>
    <t>Mortalidade /100000 hab.</t>
  </si>
  <si>
    <t>logaritmo natural</t>
  </si>
  <si>
    <t>coeficiente de regressão</t>
  </si>
  <si>
    <t>VPA%</t>
  </si>
  <si>
    <t>p-valor</t>
  </si>
  <si>
    <t>Fontes de variação</t>
  </si>
  <si>
    <t>GL</t>
  </si>
  <si>
    <t>SQ</t>
  </si>
  <si>
    <t>QM</t>
  </si>
  <si>
    <t>Alagoas</t>
  </si>
  <si>
    <t>0.0994</t>
  </si>
  <si>
    <t>0.0107</t>
  </si>
  <si>
    <t>Regressão</t>
  </si>
  <si>
    <t>0.0423</t>
  </si>
  <si>
    <t>0.0288</t>
  </si>
  <si>
    <t>0.0746</t>
  </si>
  <si>
    <t>0.1816</t>
  </si>
  <si>
    <t>0.1805</t>
  </si>
  <si>
    <t>0.1972</t>
  </si>
  <si>
    <t>Erro</t>
  </si>
  <si>
    <t>0.0191</t>
  </si>
  <si>
    <t>0.0048</t>
  </si>
  <si>
    <t>0.0229</t>
  </si>
  <si>
    <t>0.0057</t>
  </si>
  <si>
    <t>0.0524</t>
  </si>
  <si>
    <t>0.0131</t>
  </si>
  <si>
    <t>0.0086</t>
  </si>
  <si>
    <t>0.0022</t>
  </si>
  <si>
    <t>0.0081</t>
  </si>
  <si>
    <t>0.0020</t>
  </si>
  <si>
    <t>0.0347</t>
  </si>
  <si>
    <t>0.0087</t>
  </si>
  <si>
    <t>Total</t>
  </si>
  <si>
    <t>---</t>
  </si>
  <si>
    <t>0.0614</t>
  </si>
  <si>
    <t>0.0517</t>
  </si>
  <si>
    <t>0.1270</t>
  </si>
  <si>
    <t>0.1902</t>
  </si>
  <si>
    <t>0.1887</t>
  </si>
  <si>
    <t>0.2319</t>
  </si>
  <si>
    <t>F (regressão) =</t>
  </si>
  <si>
    <t>p = 0.0119</t>
  </si>
  <si>
    <t>p = 0.0090</t>
  </si>
  <si>
    <t>p = 0.0282</t>
  </si>
  <si>
    <t>p = 0.0015</t>
  </si>
  <si>
    <t>p = 0.0007</t>
  </si>
  <si>
    <t>p = 0.0085</t>
  </si>
  <si>
    <t>p = 0.0013</t>
  </si>
  <si>
    <t>p = 0.0135</t>
  </si>
  <si>
    <t>p = 0.0047</t>
  </si>
  <si>
    <t>p = 0.0062</t>
  </si>
  <si>
    <t>p = 0.0299</t>
  </si>
  <si>
    <t>p = 0.0153</t>
  </si>
  <si>
    <t>p = 0.0473</t>
  </si>
  <si>
    <t>p = 0.0068</t>
  </si>
  <si>
    <t>p = 0.0042</t>
  </si>
  <si>
    <t>p = 0.0365</t>
  </si>
  <si>
    <t>p = 0.0031</t>
  </si>
  <si>
    <t>p = 0.0225</t>
  </si>
  <si>
    <t>p = 0.0081</t>
  </si>
  <si>
    <t>8.8337</t>
  </si>
  <si>
    <t>p = 0.0414</t>
  </si>
  <si>
    <t>5.0284</t>
  </si>
  <si>
    <t>p = 0.0880</t>
  </si>
  <si>
    <t>5.6947</t>
  </si>
  <si>
    <t>p = 0.0752</t>
  </si>
  <si>
    <t>84.3766</t>
  </si>
  <si>
    <t>p = 0.0018</t>
  </si>
  <si>
    <t>88.9636</t>
  </si>
  <si>
    <t>p = 0.0017</t>
  </si>
  <si>
    <t>22.7140</t>
  </si>
  <si>
    <t>p = 0.0102</t>
  </si>
  <si>
    <t>Variável dependente =</t>
  </si>
  <si>
    <t>Coluna  1</t>
  </si>
  <si>
    <t>Logaritmo Natural</t>
  </si>
  <si>
    <t>Bahia</t>
  </si>
  <si>
    <t>0.1294</t>
  </si>
  <si>
    <t>&lt;0.0001</t>
  </si>
  <si>
    <t>Variável independente =</t>
  </si>
  <si>
    <t>Coluna  2</t>
  </si>
  <si>
    <t xml:space="preserve"> Ano</t>
  </si>
  <si>
    <t>Média (X) =</t>
  </si>
  <si>
    <t>3.5000</t>
  </si>
  <si>
    <t>Média (Y) =</t>
  </si>
  <si>
    <t>2.3500</t>
  </si>
  <si>
    <t>2.5620</t>
  </si>
  <si>
    <t>2.0618</t>
  </si>
  <si>
    <t>1.9685</t>
  </si>
  <si>
    <t>2.1802</t>
  </si>
  <si>
    <t>1.6802</t>
  </si>
  <si>
    <t>Coef. de Determinação (R2) =</t>
  </si>
  <si>
    <t>0.6883</t>
  </si>
  <si>
    <t>0.5570</t>
  </si>
  <si>
    <t>0.5874</t>
  </si>
  <si>
    <t>0.9547</t>
  </si>
  <si>
    <t>0.9570</t>
  </si>
  <si>
    <t>0.8503</t>
  </si>
  <si>
    <t>R2 (ajustado) =</t>
  </si>
  <si>
    <t>0.6104</t>
  </si>
  <si>
    <t>0.4462</t>
  </si>
  <si>
    <t>0.4843</t>
  </si>
  <si>
    <t>0.9434</t>
  </si>
  <si>
    <t>0.9462</t>
  </si>
  <si>
    <t>0.8128</t>
  </si>
  <si>
    <t>Coeficiente de Correlação =</t>
  </si>
  <si>
    <t>0.8297</t>
  </si>
  <si>
    <t>0.7463</t>
  </si>
  <si>
    <t>0.7664</t>
  </si>
  <si>
    <t>0.9771</t>
  </si>
  <si>
    <t>0.9782</t>
  </si>
  <si>
    <t>0.9221</t>
  </si>
  <si>
    <t>Ceará</t>
  </si>
  <si>
    <t>Intercepto (a) =</t>
  </si>
  <si>
    <t>t = 14.7970</t>
  </si>
  <si>
    <t>p &lt; 0.0001</t>
  </si>
  <si>
    <t>t = 11.9726</t>
  </si>
  <si>
    <t>t = 8.0525</t>
  </si>
  <si>
    <t>t = 25.7428</t>
  </si>
  <si>
    <t>t = 43.1032</t>
  </si>
  <si>
    <t>t = 11.0395</t>
  </si>
  <si>
    <t>t = 56.2692</t>
  </si>
  <si>
    <t>t = 61.2834</t>
  </si>
  <si>
    <t>t = 21.4837</t>
  </si>
  <si>
    <t>t = 13.5062</t>
  </si>
  <si>
    <t>t = 12.8968</t>
  </si>
  <si>
    <t>t = 6.6843</t>
  </si>
  <si>
    <t>p = 0.0026</t>
  </si>
  <si>
    <t>t = 28.7513</t>
  </si>
  <si>
    <t>t = 23.6838</t>
  </si>
  <si>
    <t>t = 25.9877</t>
  </si>
  <si>
    <t>t = 31.4759</t>
  </si>
  <si>
    <t>t = 36.5429</t>
  </si>
  <si>
    <t>t = 19.5699</t>
  </si>
  <si>
    <t>t = 28.9404</t>
  </si>
  <si>
    <t>t = 18.4253</t>
  </si>
  <si>
    <t>t = 14.5170</t>
  </si>
  <si>
    <t>2.1780</t>
  </si>
  <si>
    <t>t = 33.8239</t>
  </si>
  <si>
    <t>2.4200</t>
  </si>
  <si>
    <t>t = 34.3452</t>
  </si>
  <si>
    <t>1.8333</t>
  </si>
  <si>
    <t>t = 17.2073</t>
  </si>
  <si>
    <t>1.6120</t>
  </si>
  <si>
    <t>t = 37.3284</t>
  </si>
  <si>
    <t>1.8247</t>
  </si>
  <si>
    <t>t = 43.5084</t>
  </si>
  <si>
    <t>1.3087</t>
  </si>
  <si>
    <t>t = 15.0883</t>
  </si>
  <si>
    <t>Coef. de Regressão (b) =</t>
  </si>
  <si>
    <t>t = 4.5163</t>
  </si>
  <si>
    <t>p = 0.0107</t>
  </si>
  <si>
    <t>t = 4.9615</t>
  </si>
  <si>
    <t>p = 0.0077</t>
  </si>
  <si>
    <t>t = 3.3897</t>
  </si>
  <si>
    <t>p = 0.0275</t>
  </si>
  <si>
    <t>t = 9.9152</t>
  </si>
  <si>
    <t>p = 0.0006</t>
  </si>
  <si>
    <t>t = 14.7768</t>
  </si>
  <si>
    <t>t = 5.0635</t>
  </si>
  <si>
    <t>p = 0.0072</t>
  </si>
  <si>
    <t>t = 10.4598</t>
  </si>
  <si>
    <t>t = 10.7652</t>
  </si>
  <si>
    <t>t = 4.3296</t>
  </si>
  <si>
    <t>p = 0.0123</t>
  </si>
  <si>
    <t>t = 6.2382</t>
  </si>
  <si>
    <t>p = 0.0034</t>
  </si>
  <si>
    <t>t = 5.6387</t>
  </si>
  <si>
    <t>p = 0.0049</t>
  </si>
  <si>
    <t>t = 3.3228</t>
  </si>
  <si>
    <t>p = 0.0293</t>
  </si>
  <si>
    <t>t = 4.1535</t>
  </si>
  <si>
    <t>p = 0.0142</t>
  </si>
  <si>
    <t>t = 2.8344</t>
  </si>
  <si>
    <t>p = 0.0471</t>
  </si>
  <si>
    <t>t = 5.0581</t>
  </si>
  <si>
    <t>t = 5.4623</t>
  </si>
  <si>
    <t>p = 0.0055</t>
  </si>
  <si>
    <t>t = 6.4927</t>
  </si>
  <si>
    <t>p = 0.0029</t>
  </si>
  <si>
    <t>t = 3.1037</t>
  </si>
  <si>
    <t>p = 0.0361</t>
  </si>
  <si>
    <t>t = 7.3219</t>
  </si>
  <si>
    <t>t = 3.6581</t>
  </si>
  <si>
    <t>p = 0.0216</t>
  </si>
  <si>
    <t>t = 5.1558</t>
  </si>
  <si>
    <t>p = 0.0067</t>
  </si>
  <si>
    <t>0.0491</t>
  </si>
  <si>
    <t>t = 2.9722</t>
  </si>
  <si>
    <t>p = 0.0410</t>
  </si>
  <si>
    <t>0.0406</t>
  </si>
  <si>
    <t>t = 2.2424</t>
  </si>
  <si>
    <t>p = 0.0883</t>
  </si>
  <si>
    <t>0.0653</t>
  </si>
  <si>
    <t>t = 2.3864</t>
  </si>
  <si>
    <t>p = 0.0754</t>
  </si>
  <si>
    <t>0.1019</t>
  </si>
  <si>
    <t>t = 9.1857</t>
  </si>
  <si>
    <t>p = 0.0008</t>
  </si>
  <si>
    <t>0.1016</t>
  </si>
  <si>
    <t>t = 9.4321</t>
  </si>
  <si>
    <t>0.1061</t>
  </si>
  <si>
    <t>t = 4.7659</t>
  </si>
  <si>
    <t>p = 0.0089</t>
  </si>
  <si>
    <t>IC 95% (a)</t>
  </si>
  <si>
    <t>1.031 a 1.507</t>
  </si>
  <si>
    <t>1.046 a 1.677</t>
  </si>
  <si>
    <t>0.643 a 1.319</t>
  </si>
  <si>
    <t>1.168 a 1.450</t>
  </si>
  <si>
    <t>1.409 a 1.603</t>
  </si>
  <si>
    <t>0.784 a 1.312</t>
  </si>
  <si>
    <t>1.872 a 2.066</t>
  </si>
  <si>
    <t>2.098 a 2.298</t>
  </si>
  <si>
    <t>1.433 a 1.858</t>
  </si>
  <si>
    <t>0.674 a 1.022</t>
  </si>
  <si>
    <t>0.755 a 1.169</t>
  </si>
  <si>
    <t>0.414 a 1.001</t>
  </si>
  <si>
    <t>1.823 a 2.213</t>
  </si>
  <si>
    <t>1.978 a 2.503</t>
  </si>
  <si>
    <t>1.527 a 1.892</t>
  </si>
  <si>
    <t>1.713 a 2.044</t>
  </si>
  <si>
    <t>1.910 a 2.224</t>
  </si>
  <si>
    <t>1.391 a 1.851</t>
  </si>
  <si>
    <t>1.332 a 1.615</t>
  </si>
  <si>
    <t>1.404 a 1.902</t>
  </si>
  <si>
    <t>1.003 a 1.478</t>
  </si>
  <si>
    <t>1.999 a 2.357</t>
  </si>
  <si>
    <t>2.224 a 2.616</t>
  </si>
  <si>
    <t>1.538 a 2.129</t>
  </si>
  <si>
    <t>1.492 a 1.732</t>
  </si>
  <si>
    <t>1.708 a 1.941</t>
  </si>
  <si>
    <t>1.068 a 1.549</t>
  </si>
  <si>
    <t>IC 95% (b)</t>
  </si>
  <si>
    <t>0.038 a 0.161</t>
  </si>
  <si>
    <t>0.064 a 0.226</t>
  </si>
  <si>
    <t>0.019 a 0.193</t>
  </si>
  <si>
    <t>0.093 a 0.166</t>
  </si>
  <si>
    <t>0.108 a 0.157</t>
  </si>
  <si>
    <t>0.056 a 0.191</t>
  </si>
  <si>
    <t>0.069 a 0.119</t>
  </si>
  <si>
    <t>0.074 a 0.125</t>
  </si>
  <si>
    <t>0.031 a 0.140</t>
  </si>
  <si>
    <t>0.056 a 0.145</t>
  </si>
  <si>
    <t>0.055 a 0.161</t>
  </si>
  <si>
    <t>0.015 a 0.166</t>
  </si>
  <si>
    <t>0.025 a 0.125</t>
  </si>
  <si>
    <t>0.001 a 0.136</t>
  </si>
  <si>
    <t>0.039 a 0.132</t>
  </si>
  <si>
    <t>0.041 a 0.126</t>
  </si>
  <si>
    <t>0.054 a 0.135</t>
  </si>
  <si>
    <t>0.007 a 0.125</t>
  </si>
  <si>
    <t>0.059 a 0.132</t>
  </si>
  <si>
    <t>0.020 a 0.148</t>
  </si>
  <si>
    <t>0.052 a 0.174</t>
  </si>
  <si>
    <t>0.003 a 0.095</t>
  </si>
  <si>
    <t>-0.010 a 0.091</t>
  </si>
  <si>
    <t>-0.011 a 0.141</t>
  </si>
  <si>
    <t>0.071 a 0.133</t>
  </si>
  <si>
    <t>0.072 a 0.131</t>
  </si>
  <si>
    <t>0.044 a 0.168</t>
  </si>
  <si>
    <t>Equação</t>
  </si>
  <si>
    <t>Y' = a + bX</t>
  </si>
  <si>
    <t>Maranhão</t>
  </si>
  <si>
    <t>Paraíba</t>
  </si>
  <si>
    <t>Pernambuco</t>
  </si>
  <si>
    <t>Piauí</t>
  </si>
  <si>
    <t>Rio Grande do Norte</t>
  </si>
  <si>
    <t>0.0410</t>
  </si>
  <si>
    <t>0.0883</t>
  </si>
  <si>
    <t>0.0754</t>
  </si>
  <si>
    <t>Sergipe</t>
  </si>
  <si>
    <t>0.0008</t>
  </si>
  <si>
    <t>0.0007</t>
  </si>
  <si>
    <t>0.0089</t>
  </si>
  <si>
    <r>
      <t xml:space="preserve">Faixa Etária - </t>
    </r>
    <r>
      <rPr>
        <b/>
        <sz val="8"/>
        <color rgb="FFFF0000"/>
        <rFont val="Garamond"/>
        <family val="1"/>
      </rPr>
      <t>Feminina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</si>
  <si>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</si>
  <si>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</si>
  <si>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</si>
  <si>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</si>
  <si>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</si>
  <si>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</si>
  <si>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</si>
  <si>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</si>
  <si>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</si>
  <si>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</si>
  <si>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</si>
  <si>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</si>
  <si>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</si>
  <si>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</si>
  <si>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</si>
  <si>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</si>
  <si>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</si>
  <si>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</si>
  <si>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Piauí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</si>
  <si>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Piauí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</si>
  <si>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Piauí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</si>
  <si>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Rio G. do Norte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</si>
  <si>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Rio G. do Norte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</si>
  <si>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Rio G. do Norte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</si>
  <si>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</si>
  <si>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</si>
  <si>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Feminino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</t>
    </r>
    <r>
      <rPr>
        <b/>
        <sz val="11"/>
        <color theme="1"/>
        <rFont val="Aptos Narrow"/>
        <family val="2"/>
        <scheme val="minor"/>
      </rPr>
      <t xml:space="preserve"> 80 ou mais</t>
    </r>
  </si>
  <si>
    <t>60 - 69</t>
  </si>
  <si>
    <t>70 - 79</t>
  </si>
  <si>
    <t>80 ou mais</t>
  </si>
  <si>
    <t>ano</t>
  </si>
  <si>
    <t>IC95% minimo</t>
  </si>
  <si>
    <t>IC95% máximo</t>
  </si>
  <si>
    <t>p = 0.1588</t>
  </si>
  <si>
    <t>p = 0.1814</t>
  </si>
  <si>
    <t>p = 0.0130</t>
  </si>
  <si>
    <t>p = 0.6736</t>
  </si>
  <si>
    <t>p = 0.0500</t>
  </si>
  <si>
    <t>p = 0.0004</t>
  </si>
  <si>
    <t>p = 0.3645</t>
  </si>
  <si>
    <t>p = 0.0612</t>
  </si>
  <si>
    <t>p = 0.0011</t>
  </si>
  <si>
    <t>p = 0.5678</t>
  </si>
  <si>
    <t>p = 0.2229</t>
  </si>
  <si>
    <t>p = 0.0429</t>
  </si>
  <si>
    <t>p = 0.1655</t>
  </si>
  <si>
    <t>p = 0.3615</t>
  </si>
  <si>
    <t>p = 0.1617</t>
  </si>
  <si>
    <t>p = 0.6474</t>
  </si>
  <si>
    <t>p = 0.1301</t>
  </si>
  <si>
    <t>p = 0.0092</t>
  </si>
  <si>
    <t>p = 0.2639</t>
  </si>
  <si>
    <t>p = 0.2019</t>
  </si>
  <si>
    <t>p = 0.1346</t>
  </si>
  <si>
    <t>p = 0.9790</t>
  </si>
  <si>
    <t>p = 0.3294</t>
  </si>
  <si>
    <t>p = 0.7306</t>
  </si>
  <si>
    <t>p = 0.1881</t>
  </si>
  <si>
    <t>p = 0.7469</t>
  </si>
  <si>
    <t>p = 0.0241</t>
  </si>
  <si>
    <t>t = 5.4363</t>
  </si>
  <si>
    <t>t = 19.2212</t>
  </si>
  <si>
    <t>t = 82.5154</t>
  </si>
  <si>
    <t>t = 3.9920</t>
  </si>
  <si>
    <t>p = 0.0162</t>
  </si>
  <si>
    <t>t = 20.9722</t>
  </si>
  <si>
    <t>t = 284.0238</t>
  </si>
  <si>
    <t>t = 8.1711</t>
  </si>
  <si>
    <t>p = 0.0012</t>
  </si>
  <si>
    <t>t = 44.8195</t>
  </si>
  <si>
    <t>t = 215.3923</t>
  </si>
  <si>
    <t>t = 1.1713</t>
  </si>
  <si>
    <t>p = 0.3064</t>
  </si>
  <si>
    <t>t = 13.9879</t>
  </si>
  <si>
    <t>t = 35.8070</t>
  </si>
  <si>
    <t>t = 3.2372</t>
  </si>
  <si>
    <t>p = 0.0317</t>
  </si>
  <si>
    <t>t = 22.0362</t>
  </si>
  <si>
    <t>t = 60.7270</t>
  </si>
  <si>
    <t>t = 9.3910</t>
  </si>
  <si>
    <t>t = 30.5805</t>
  </si>
  <si>
    <t>t = 105.9422</t>
  </si>
  <si>
    <t>t = 0.2601</t>
  </si>
  <si>
    <t>p = 0.8076</t>
  </si>
  <si>
    <t>t = 30.4022</t>
  </si>
  <si>
    <t>t = 43.8159</t>
  </si>
  <si>
    <t>t = 2.7160</t>
  </si>
  <si>
    <t>p = 0.0532</t>
  </si>
  <si>
    <t>t = 33.1652</t>
  </si>
  <si>
    <t>t = 72.7033</t>
  </si>
  <si>
    <t>t = 1.2267</t>
  </si>
  <si>
    <t>p = 0.2871</t>
  </si>
  <si>
    <t>t = 20.5153</t>
  </si>
  <si>
    <t>t = 60.0634</t>
  </si>
  <si>
    <t>t = -1.7255</t>
  </si>
  <si>
    <t>p = 0.1595</t>
  </si>
  <si>
    <t>t = 1.6128</t>
  </si>
  <si>
    <t>p = 0.1820</t>
  </si>
  <si>
    <t>t = 4.3926</t>
  </si>
  <si>
    <t>p = 0.0117</t>
  </si>
  <si>
    <t>t = -0.4538</t>
  </si>
  <si>
    <t>p = 0.6735</t>
  </si>
  <si>
    <t>t = 2.7792</t>
  </si>
  <si>
    <t>p = 0.0498</t>
  </si>
  <si>
    <t>t = 23.8453</t>
  </si>
  <si>
    <t>t = -1.0262</t>
  </si>
  <si>
    <t>p = 0.3628</t>
  </si>
  <si>
    <t>t = 2.5814</t>
  </si>
  <si>
    <t>t = 11.3948</t>
  </si>
  <si>
    <t>t = 0.6269</t>
  </si>
  <si>
    <t>p = 0.5647</t>
  </si>
  <si>
    <t>t = 1.4394</t>
  </si>
  <si>
    <t>p = 0.2234</t>
  </si>
  <si>
    <t>t = 2.9337</t>
  </si>
  <si>
    <t>p = 0.0426</t>
  </si>
  <si>
    <t>t = 1.6904</t>
  </si>
  <si>
    <t>p = 0.1661</t>
  </si>
  <si>
    <t>t = 1.0331</t>
  </si>
  <si>
    <t>p = 0.3599</t>
  </si>
  <si>
    <t>t = 1.7103</t>
  </si>
  <si>
    <t>p = 0.1623</t>
  </si>
  <si>
    <t>t = 0.4956</t>
  </si>
  <si>
    <t>p = 0.6461</t>
  </si>
  <si>
    <t>t = 1.8963</t>
  </si>
  <si>
    <t>p = 0.1307</t>
  </si>
  <si>
    <t>t = 4.9233</t>
  </si>
  <si>
    <t>p = 0.0079</t>
  </si>
  <si>
    <t>t = 1.2981</t>
  </si>
  <si>
    <t>p = 0.2640</t>
  </si>
  <si>
    <t>t = 1.5225</t>
  </si>
  <si>
    <t>p = 0.2025</t>
  </si>
  <si>
    <t>t = 1.8668</t>
  </si>
  <si>
    <t>p = 0.1353</t>
  </si>
  <si>
    <t>t = -0.0257</t>
  </si>
  <si>
    <t>p = 0.9807</t>
  </si>
  <si>
    <t>t = 1.1119</t>
  </si>
  <si>
    <t>p = 0.3285</t>
  </si>
  <si>
    <t>t = 0.3648</t>
  </si>
  <si>
    <t>p = 0.7337</t>
  </si>
  <si>
    <t>t = 1.5821</t>
  </si>
  <si>
    <t>p = 0.1887</t>
  </si>
  <si>
    <t>t = 0.3400</t>
  </si>
  <si>
    <t>p = 0.7510</t>
  </si>
  <si>
    <t>t = 3.5752</t>
  </si>
  <si>
    <t>p = 0.0232</t>
  </si>
  <si>
    <t>0.750 a 2.314</t>
  </si>
  <si>
    <t>2.712 a 3.627</t>
  </si>
  <si>
    <t>5.151 a 5.509</t>
  </si>
  <si>
    <t>0.262 a 1.460</t>
  </si>
  <si>
    <t>2.535 a 3.309</t>
  </si>
  <si>
    <t>5.040 a 5.139</t>
  </si>
  <si>
    <t>1.030 a 2.089</t>
  </si>
  <si>
    <t>3.407 a 3.857</t>
  </si>
  <si>
    <t>5.668 a 5.816</t>
  </si>
  <si>
    <t>-0.746 a 1.836</t>
  </si>
  <si>
    <t>2.175 a 3.253</t>
  </si>
  <si>
    <t>4.385 a 5.122</t>
  </si>
  <si>
    <t>0.130 a 1.694</t>
  </si>
  <si>
    <t>3.112 a 4.008</t>
  </si>
  <si>
    <t>5.429 a 5.949</t>
  </si>
  <si>
    <t>1.069 a 1.967</t>
  </si>
  <si>
    <t>3.296 a 3.954</t>
  </si>
  <si>
    <t>5.526 a 5.823</t>
  </si>
  <si>
    <t>-1.361 a 1.642</t>
  </si>
  <si>
    <t>2.948 a 3.540</t>
  </si>
  <si>
    <t>4.892 a 5.554</t>
  </si>
  <si>
    <t>-0.031 a 2.855</t>
  </si>
  <si>
    <t>3.376 a 3.992</t>
  </si>
  <si>
    <t>5.759 a 6.217</t>
  </si>
  <si>
    <t>-0.815 a 2.106</t>
  </si>
  <si>
    <t>3.019 a 3.964</t>
  </si>
  <si>
    <t>5.331 a 5.848</t>
  </si>
  <si>
    <t>-0.326 a 0.076</t>
  </si>
  <si>
    <t>-0.049 a 0.186</t>
  </si>
  <si>
    <t>0.027 a 0.119</t>
  </si>
  <si>
    <t>-0.179 a 0.129</t>
  </si>
  <si>
    <t>0.000 a 0.199</t>
  </si>
  <si>
    <t>0.097 a 0.122</t>
  </si>
  <si>
    <t>-0.186 a 0.086</t>
  </si>
  <si>
    <t>-0.004 a 0.111</t>
  </si>
  <si>
    <t>0.059 a 0.097</t>
  </si>
  <si>
    <t>-0.257 a 0.406</t>
  </si>
  <si>
    <t>-0.067 a 0.210</t>
  </si>
  <si>
    <t>0.005 a 0.195</t>
  </si>
  <si>
    <t>-0.079 a 0.323</t>
  </si>
  <si>
    <t>-0.072 a 0.158</t>
  </si>
  <si>
    <t>-0.026 a 0.108</t>
  </si>
  <si>
    <t>-0.095 a 0.136</t>
  </si>
  <si>
    <t>-0.027 a 0.142</t>
  </si>
  <si>
    <t>0.030 a 0.106</t>
  </si>
  <si>
    <t>-0.205 a 0.566</t>
  </si>
  <si>
    <t>-0.034 a 0.118</t>
  </si>
  <si>
    <t>-0.028 a 0.142</t>
  </si>
  <si>
    <t>-0.374 a 0.367</t>
  </si>
  <si>
    <t>-0.047 a 0.111</t>
  </si>
  <si>
    <t>-0.051 a 0.066</t>
  </si>
  <si>
    <t>-0.161 a 0.589</t>
  </si>
  <si>
    <t>-0.106 a 0.136</t>
  </si>
  <si>
    <t>0.019 a 0.152</t>
  </si>
  <si>
    <r>
      <t xml:space="preserve">Faixa Etária - </t>
    </r>
    <r>
      <rPr>
        <b/>
        <sz val="7"/>
        <color rgb="FFFF0000"/>
        <rFont val="Garamond"/>
        <family val="1"/>
      </rPr>
      <t>Masculina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</si>
  <si>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</si>
  <si>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</si>
  <si>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Alagoas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</si>
  <si>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</si>
  <si>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</si>
  <si>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Bahia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</si>
  <si>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</si>
  <si>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</si>
  <si>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Ceará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</si>
  <si>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</si>
  <si>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</si>
  <si>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Maranhão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</si>
  <si>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</si>
  <si>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</si>
  <si>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Paraíba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</si>
  <si>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</si>
  <si>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</si>
  <si>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Pernambuco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</si>
  <si>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Piauí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</si>
  <si>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Piauí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</si>
  <si>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Piauí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</si>
  <si>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Rio G. do Norte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</si>
  <si>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Rio G. do Norte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</si>
  <si>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Rio G. do Norte</t>
    </r>
    <r>
      <rPr>
        <b/>
        <sz val="11"/>
        <color theme="1"/>
        <rFont val="Aptos Narrow"/>
        <family val="2"/>
        <scheme val="minor"/>
      </rPr>
      <t xml:space="preserve"> 80 ou mais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</si>
  <si>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 </t>
    </r>
    <r>
      <rPr>
        <b/>
        <sz val="11"/>
        <color theme="1"/>
        <rFont val="Aptos Narrow"/>
        <family val="2"/>
        <scheme val="minor"/>
      </rPr>
      <t xml:space="preserve"> 60-69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</si>
  <si>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</t>
    </r>
    <r>
      <rPr>
        <b/>
        <sz val="11"/>
        <color theme="1"/>
        <rFont val="Aptos Narrow"/>
        <family val="2"/>
        <scheme val="minor"/>
      </rPr>
      <t xml:space="preserve"> 70-79</t>
    </r>
  </si>
  <si>
    <r>
      <t xml:space="preserve">Regressão Log-linear </t>
    </r>
    <r>
      <rPr>
        <b/>
        <sz val="11"/>
        <color rgb="FFFF0000"/>
        <rFont val="Aptos Narrow"/>
        <family val="2"/>
        <scheme val="minor"/>
      </rPr>
      <t>Masculino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 xml:space="preserve">Sergipe </t>
    </r>
    <r>
      <rPr>
        <b/>
        <sz val="11"/>
        <color theme="1"/>
        <rFont val="Aptos Narrow"/>
        <family val="2"/>
        <scheme val="minor"/>
      </rPr>
      <t xml:space="preserve"> 80 ou mais</t>
    </r>
  </si>
  <si>
    <t>logartmo natural</t>
  </si>
  <si>
    <t>p = 0.1774</t>
  </si>
  <si>
    <t>p = 0.6131</t>
  </si>
  <si>
    <t>p = 0.0838</t>
  </si>
  <si>
    <t>p = 0.6075</t>
  </si>
  <si>
    <t>p = 0.6227</t>
  </si>
  <si>
    <t>p = 0.0024</t>
  </si>
  <si>
    <t>p = 0.8186</t>
  </si>
  <si>
    <t>p = 0.1866</t>
  </si>
  <si>
    <t>p = 0.0065</t>
  </si>
  <si>
    <t>p = 0.7140</t>
  </si>
  <si>
    <t>p = 0.9054</t>
  </si>
  <si>
    <t>p = 0.0646</t>
  </si>
  <si>
    <t>p = 0.8014</t>
  </si>
  <si>
    <t>p = 0.1785</t>
  </si>
  <si>
    <t>p = 0.0020</t>
  </si>
  <si>
    <t>p = 0.6244</t>
  </si>
  <si>
    <t>p = 0.2499</t>
  </si>
  <si>
    <t>p = 0.0798</t>
  </si>
  <si>
    <t>p = 0.3161</t>
  </si>
  <si>
    <t>p = 0.0359</t>
  </si>
  <si>
    <t>p = 0.0467</t>
  </si>
  <si>
    <t>p = 0.0233</t>
  </si>
  <si>
    <t>p = 0.5894</t>
  </si>
  <si>
    <t>p = 0.0489</t>
  </si>
  <si>
    <t>p = 0.6214</t>
  </si>
  <si>
    <t>p = 0.5825</t>
  </si>
  <si>
    <t>p = 0.0260</t>
  </si>
  <si>
    <t>Coluna  3</t>
  </si>
  <si>
    <t>Coluna  4</t>
  </si>
  <si>
    <t>t = 5.6481</t>
  </si>
  <si>
    <t>p = 0.0048</t>
  </si>
  <si>
    <t>t = 20.2289</t>
  </si>
  <si>
    <t>t = 25.2220</t>
  </si>
  <si>
    <t>t = 9.0156</t>
  </si>
  <si>
    <t>t = 15.1353</t>
  </si>
  <si>
    <t>t = 75.5170</t>
  </si>
  <si>
    <t>t = 6.3375</t>
  </si>
  <si>
    <t>p = 0.0032</t>
  </si>
  <si>
    <t>t = 18.4402</t>
  </si>
  <si>
    <t>t = 118.2141</t>
  </si>
  <si>
    <t>t = 2.9532</t>
  </si>
  <si>
    <t>p = 0.0418</t>
  </si>
  <si>
    <t>t = 11.0062</t>
  </si>
  <si>
    <t>t = 24.9609</t>
  </si>
  <si>
    <t>t = 2.4686</t>
  </si>
  <si>
    <t>p = 0.0690</t>
  </si>
  <si>
    <t>t = 19.6452</t>
  </si>
  <si>
    <t>t = 180.3616</t>
  </si>
  <si>
    <t>t = 3.8237</t>
  </si>
  <si>
    <t>p = 0.0187</t>
  </si>
  <si>
    <t>t = 24.6499</t>
  </si>
  <si>
    <t>t = 99.1658</t>
  </si>
  <si>
    <t>t = 0.6925</t>
  </si>
  <si>
    <t>p = 0.5267</t>
  </si>
  <si>
    <t>t = 31.7290</t>
  </si>
  <si>
    <t>t = 43.3057</t>
  </si>
  <si>
    <t>t = 10.7569</t>
  </si>
  <si>
    <t>t = 10.7997</t>
  </si>
  <si>
    <t>t = 79.8482</t>
  </si>
  <si>
    <t>t = 1.4369</t>
  </si>
  <si>
    <t>p = 0.2240</t>
  </si>
  <si>
    <t>t = 28.8446</t>
  </si>
  <si>
    <t>t = 43.7422</t>
  </si>
  <si>
    <t>t = -1.6313</t>
  </si>
  <si>
    <t>p = 0.1781</t>
  </si>
  <si>
    <t>t = 0.9751</t>
  </si>
  <si>
    <t>p = 0.3847</t>
  </si>
  <si>
    <t>t = 2.2863</t>
  </si>
  <si>
    <t>p = 0.0841</t>
  </si>
  <si>
    <t>t = 0.5605</t>
  </si>
  <si>
    <t>p = 0.6050</t>
  </si>
  <si>
    <t>t = 0.5356</t>
  </si>
  <si>
    <t>p = 0.6206</t>
  </si>
  <si>
    <t>t = 7.9936</t>
  </si>
  <si>
    <t>t = 0.2354</t>
  </si>
  <si>
    <t>p = 0.8255</t>
  </si>
  <si>
    <t>t = 1.5888</t>
  </si>
  <si>
    <t>p = 0.1872</t>
  </si>
  <si>
    <t>t = 5.5647</t>
  </si>
  <si>
    <t>p = 0.0051</t>
  </si>
  <si>
    <t>t = -0.3904</t>
  </si>
  <si>
    <t>p = 0.7162</t>
  </si>
  <si>
    <t>t = 0.1209</t>
  </si>
  <si>
    <t>p = 0.9096</t>
  </si>
  <si>
    <t>t = 2.5293</t>
  </si>
  <si>
    <t>p = 0.0647</t>
  </si>
  <si>
    <t>t = 0.2596</t>
  </si>
  <si>
    <t>p = 0.8080</t>
  </si>
  <si>
    <t>t = 1.6261</t>
  </si>
  <si>
    <t>p = 0.1792</t>
  </si>
  <si>
    <t>t = 8.6548</t>
  </si>
  <si>
    <t>p = 0.0010</t>
  </si>
  <si>
    <t>t = 0.5328</t>
  </si>
  <si>
    <t>p = 0.6224</t>
  </si>
  <si>
    <t>t = 1.3438</t>
  </si>
  <si>
    <t>p = 0.2501</t>
  </si>
  <si>
    <t>t = 2.3312</t>
  </si>
  <si>
    <t>p = 0.0801</t>
  </si>
  <si>
    <t>t = 1.1467</t>
  </si>
  <si>
    <t>p = 0.3154</t>
  </si>
  <si>
    <t>t = 3.1222</t>
  </si>
  <si>
    <t>p = 0.0354</t>
  </si>
  <si>
    <t>t = 2.8468</t>
  </si>
  <si>
    <t>p = 0.0465</t>
  </si>
  <si>
    <t>t = -3.6162</t>
  </si>
  <si>
    <t>p = 0.0224</t>
  </si>
  <si>
    <t>t = 0.5906</t>
  </si>
  <si>
    <t>p = 0.5866</t>
  </si>
  <si>
    <t>t = 2.8014</t>
  </si>
  <si>
    <t>p = 0.0487</t>
  </si>
  <si>
    <t>t = 0.9936</t>
  </si>
  <si>
    <t>p = 0.3766</t>
  </si>
  <si>
    <t>t = -0.9093</t>
  </si>
  <si>
    <t>p = 0.4146</t>
  </si>
  <si>
    <t>t = 3.4853</t>
  </si>
  <si>
    <t>p = 0.0252</t>
  </si>
  <si>
    <t>0.903 a 2.649</t>
  </si>
  <si>
    <t>2.828 a 3.728</t>
  </si>
  <si>
    <t>4.392 a 5.478</t>
  </si>
  <si>
    <t>0.805 a 1.522</t>
  </si>
  <si>
    <t>2.645 a 3.833</t>
  </si>
  <si>
    <t>4.577 a 4.926</t>
  </si>
  <si>
    <t>0.876 a 2.240</t>
  </si>
  <si>
    <t>2.896 a 3.923</t>
  </si>
  <si>
    <t>5.309 a 5.564</t>
  </si>
  <si>
    <t>0.072 a 2.319</t>
  </si>
  <si>
    <t>2.273 a 3.807</t>
  </si>
  <si>
    <t>3.933 a 4.917</t>
  </si>
  <si>
    <t>-0.155 a 2.653</t>
  </si>
  <si>
    <t>3.036 a 4.035</t>
  </si>
  <si>
    <t>5.342 a 5.510</t>
  </si>
  <si>
    <t>0.392 a 2.467</t>
  </si>
  <si>
    <t>3.296 a 4.133</t>
  </si>
  <si>
    <t>5.383 a 5.693</t>
  </si>
  <si>
    <t>-1.264 a 2.104</t>
  </si>
  <si>
    <t>2.951 a 3.517</t>
  </si>
  <si>
    <t>4.673 a 5.313</t>
  </si>
  <si>
    <t>1.604 a 2.719</t>
  </si>
  <si>
    <t>2.691 a 4.553</t>
  </si>
  <si>
    <t>5.449 a 5.842</t>
  </si>
  <si>
    <t>-0.939 a 2.953</t>
  </si>
  <si>
    <t>3.477 a 4.218</t>
  </si>
  <si>
    <t>4.944 a 5.614</t>
  </si>
  <si>
    <t>-0.356 a 0.092</t>
  </si>
  <si>
    <t>-0.075 a 0.156</t>
  </si>
  <si>
    <t>-0.025 a 0.254</t>
  </si>
  <si>
    <t>-0.073 a 0.111</t>
  </si>
  <si>
    <t>-0.123 a 0.182</t>
  </si>
  <si>
    <t>0.084 a 0.174</t>
  </si>
  <si>
    <t>-0.160 a 0.190</t>
  </si>
  <si>
    <t>-0.056 a 0.207</t>
  </si>
  <si>
    <t>0.033 a 0.098</t>
  </si>
  <si>
    <t>-0.329 a 0.248</t>
  </si>
  <si>
    <t>-0.188 a 0.205</t>
  </si>
  <si>
    <t>-0.011 a 0.242</t>
  </si>
  <si>
    <t>-0.327 a 0.394</t>
  </si>
  <si>
    <t>-0.053 a 0.203</t>
  </si>
  <si>
    <t>0.045 a 0.088</t>
  </si>
  <si>
    <t>-0.215 a 0.318</t>
  </si>
  <si>
    <t>-0.055 a 0.159</t>
  </si>
  <si>
    <t>-0.006 a 0.073</t>
  </si>
  <si>
    <t>-0.254 a 0.611</t>
  </si>
  <si>
    <t>0.009 a 0.154</t>
  </si>
  <si>
    <t>0.002 a 0.166</t>
  </si>
  <si>
    <t>-0.330 a -0.043</t>
  </si>
  <si>
    <t>-0.188 a 0.290</t>
  </si>
  <si>
    <t>0.000 a 0.101</t>
  </si>
  <si>
    <t>-0.321 a 0.679</t>
  </si>
  <si>
    <t>-0.126 a 0.064</t>
  </si>
  <si>
    <t>0.022 a 0.194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</si>
</sst>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00000"/>
      <name val="Garamond"/>
      <family val="1"/>
    </font>
    <font>
      <b/>
      <sz val="8"/>
      <color rgb="FF000000"/>
      <name val="Arial Nova"/>
      <family val="2"/>
    </font>
    <font>
      <b/>
      <sz val="8"/>
      <color rgb="FFC00000"/>
      <name val="Arial Nova"/>
      <family val="2"/>
    </font>
    <font>
      <b/>
      <sz val="8.5"/>
      <color rgb="FF000000"/>
      <name val="Arial Nova"/>
      <family val="2"/>
    </font>
    <font>
      <b/>
      <sz val="7"/>
      <color theme="1"/>
      <name val="Garamond"/>
      <family val="1"/>
    </font>
    <font>
      <b/>
      <sz val="8"/>
      <color theme="1"/>
      <name val="Arial Nova"/>
      <family val="2"/>
    </font>
    <font>
      <b/>
      <sz val="8.5"/>
      <name val="Arial Nova"/>
      <family val="2"/>
    </font>
    <font>
      <sz val="8"/>
      <color rgb="FF000000"/>
      <name val="Arial Nova"/>
      <family val="2"/>
    </font>
    <font>
      <sz val="8.5"/>
      <color rgb="FF000000"/>
      <name val="Arial Nova"/>
      <family val="2"/>
    </font>
    <font>
      <sz val="8"/>
      <color theme="1"/>
      <name val="Arial Nova"/>
      <family val="2"/>
    </font>
    <font>
      <sz val="8.5"/>
      <color theme="1"/>
      <name val="Arial Nova"/>
      <family val="2"/>
    </font>
    <font>
      <b/>
      <sz val="8"/>
      <color theme="1"/>
      <name val="Garamond"/>
      <family val="1"/>
    </font>
    <font>
      <b/>
      <sz val="8"/>
      <color rgb="FFFF0000"/>
      <name val="Garamond"/>
      <family val="1"/>
    </font>
    <font>
      <b/>
      <sz val="11"/>
      <color rgb="FFFF0000"/>
      <name val="Aptos Narrow"/>
      <family val="2"/>
      <scheme val="minor"/>
    </font>
    <font>
      <b/>
      <sz val="8"/>
      <color rgb="FF000000"/>
      <name val="Garamond"/>
      <family val="1"/>
    </font>
    <font>
      <b/>
      <sz val="7"/>
      <color rgb="FFFF000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" fillId="0" borderId="6" xfId="0" applyFont="1" applyBorder="1"/>
    <xf numFmtId="0" fontId="2" fillId="3" borderId="12" xfId="0" applyFont="1" applyFill="1" applyBorder="1" applyAlignment="1">
      <alignment horizontal="center" vertical="center" textRotation="90" wrapText="1"/>
    </xf>
    <xf numFmtId="0" fontId="2" fillId="3" borderId="8" xfId="0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13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textRotation="90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11" xfId="0" applyFont="1" applyBorder="1"/>
    <xf numFmtId="0" fontId="2" fillId="3" borderId="7" xfId="0" applyFont="1" applyFill="1" applyBorder="1" applyAlignment="1">
      <alignment horizontal="center" vertical="center" textRotation="90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wrapText="1"/>
    </xf>
    <xf numFmtId="2" fontId="6" fillId="3" borderId="14" xfId="0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textRotation="90" wrapText="1"/>
    </xf>
    <xf numFmtId="2" fontId="6" fillId="3" borderId="9" xfId="0" applyNumberFormat="1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2" fontId="6" fillId="3" borderId="8" xfId="0" applyNumberFormat="1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6" borderId="12" xfId="0" applyFont="1" applyFill="1" applyBorder="1" applyAlignment="1">
      <alignment horizontal="center" vertical="center" textRotation="90" wrapText="1"/>
    </xf>
    <xf numFmtId="0" fontId="2" fillId="6" borderId="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textRotation="90" wrapText="1"/>
    </xf>
    <xf numFmtId="0" fontId="6" fillId="6" borderId="1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textRotation="90" wrapText="1"/>
    </xf>
    <xf numFmtId="0" fontId="6" fillId="6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6" fillId="2" borderId="1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16" fillId="3" borderId="12" xfId="0" applyFont="1" applyFill="1" applyBorder="1" applyAlignment="1">
      <alignment horizontal="center" vertical="center" textRotation="90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2" fontId="13" fillId="3" borderId="12" xfId="0" applyNumberFormat="1" applyFont="1" applyFill="1" applyBorder="1" applyAlignment="1">
      <alignment horizontal="center" vertical="center" wrapText="1"/>
    </xf>
    <xf numFmtId="164" fontId="13" fillId="3" borderId="12" xfId="0" applyNumberFormat="1" applyFont="1" applyFill="1" applyBorder="1" applyAlignment="1">
      <alignment horizontal="center" vertical="center" wrapText="1"/>
    </xf>
    <xf numFmtId="164" fontId="13" fillId="3" borderId="15" xfId="0" applyNumberFormat="1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textRotation="90" wrapText="1"/>
    </xf>
    <xf numFmtId="0" fontId="13" fillId="0" borderId="8" xfId="0" applyFont="1" applyBorder="1" applyAlignment="1">
      <alignment horizontal="center" vertical="center" wrapText="1"/>
    </xf>
    <xf numFmtId="2" fontId="13" fillId="3" borderId="16" xfId="0" applyNumberFormat="1" applyFont="1" applyFill="1" applyBorder="1" applyAlignment="1">
      <alignment horizontal="center" vertical="center" wrapText="1"/>
    </xf>
    <xf numFmtId="164" fontId="13" fillId="3" borderId="16" xfId="0" applyNumberFormat="1" applyFont="1" applyFill="1" applyBorder="1" applyAlignment="1">
      <alignment horizontal="center" vertical="center" wrapText="1"/>
    </xf>
    <xf numFmtId="1" fontId="16" fillId="3" borderId="13" xfId="0" applyNumberFormat="1" applyFont="1" applyFill="1" applyBorder="1" applyAlignment="1">
      <alignment horizontal="center" vertical="center" wrapText="1"/>
    </xf>
    <xf numFmtId="164" fontId="13" fillId="3" borderId="17" xfId="0" applyNumberFormat="1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textRotation="90" wrapText="1"/>
    </xf>
    <xf numFmtId="2" fontId="13" fillId="3" borderId="7" xfId="0" applyNumberFormat="1" applyFont="1" applyFill="1" applyBorder="1" applyAlignment="1">
      <alignment horizontal="center" vertical="center" wrapText="1"/>
    </xf>
    <xf numFmtId="164" fontId="13" fillId="3" borderId="7" xfId="0" applyNumberFormat="1" applyFont="1" applyFill="1" applyBorder="1" applyAlignment="1">
      <alignment horizontal="center" vertical="center" wrapText="1"/>
    </xf>
    <xf numFmtId="164" fontId="13" fillId="3" borderId="18" xfId="0" applyNumberFormat="1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textRotation="90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164" fontId="13" fillId="5" borderId="12" xfId="0" applyNumberFormat="1" applyFont="1" applyFill="1" applyBorder="1" applyAlignment="1">
      <alignment horizontal="center" vertical="center" wrapText="1"/>
    </xf>
    <xf numFmtId="164" fontId="13" fillId="5" borderId="15" xfId="0" applyNumberFormat="1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textRotation="90" wrapText="1"/>
    </xf>
    <xf numFmtId="164" fontId="13" fillId="5" borderId="16" xfId="0" applyNumberFormat="1" applyFont="1" applyFill="1" applyBorder="1" applyAlignment="1">
      <alignment horizontal="center" vertical="center" wrapText="1"/>
    </xf>
    <xf numFmtId="164" fontId="13" fillId="5" borderId="17" xfId="0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textRotation="90" wrapText="1"/>
    </xf>
    <xf numFmtId="164" fontId="13" fillId="5" borderId="7" xfId="0" applyNumberFormat="1" applyFont="1" applyFill="1" applyBorder="1" applyAlignment="1">
      <alignment horizontal="center" vertical="center" wrapText="1"/>
    </xf>
    <xf numFmtId="164" fontId="13" fillId="5" borderId="18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/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2" fontId="6" fillId="3" borderId="12" xfId="0" applyNumberFormat="1" applyFont="1" applyFill="1" applyBorder="1" applyAlignment="1">
      <alignment horizontal="center" vertical="center" wrapText="1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2" fontId="6" fillId="3" borderId="16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3" borderId="17" xfId="0" applyNumberFormat="1" applyFont="1" applyFill="1" applyBorder="1" applyAlignment="1">
      <alignment horizontal="center" vertical="center" wrapText="1"/>
    </xf>
    <xf numFmtId="2" fontId="6" fillId="3" borderId="7" xfId="0" applyNumberFormat="1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center" vertical="center" wrapText="1"/>
    </xf>
    <xf numFmtId="165" fontId="6" fillId="3" borderId="14" xfId="0" applyNumberFormat="1" applyFont="1" applyFill="1" applyBorder="1" applyAlignment="1">
      <alignment horizontal="center" vertical="center" wrapText="1"/>
    </xf>
    <xf numFmtId="164" fontId="6" fillId="5" borderId="12" xfId="0" applyNumberFormat="1" applyFont="1" applyFill="1" applyBorder="1" applyAlignment="1">
      <alignment horizontal="center" vertical="center" wrapText="1"/>
    </xf>
    <xf numFmtId="164" fontId="6" fillId="5" borderId="15" xfId="0" applyNumberFormat="1" applyFont="1" applyFill="1" applyBorder="1" applyAlignment="1">
      <alignment horizontal="center" vertical="center" wrapText="1"/>
    </xf>
    <xf numFmtId="165" fontId="6" fillId="3" borderId="9" xfId="0" applyNumberFormat="1" applyFont="1" applyFill="1" applyBorder="1" applyAlignment="1">
      <alignment horizontal="center" vertical="center" wrapText="1"/>
    </xf>
    <xf numFmtId="164" fontId="6" fillId="5" borderId="16" xfId="0" applyNumberFormat="1" applyFont="1" applyFill="1" applyBorder="1" applyAlignment="1">
      <alignment horizontal="center" vertical="center" wrapText="1"/>
    </xf>
    <xf numFmtId="164" fontId="6" fillId="5" borderId="17" xfId="0" applyNumberFormat="1" applyFont="1" applyFill="1" applyBorder="1" applyAlignment="1">
      <alignment horizontal="center" vertical="center" wrapText="1"/>
    </xf>
    <xf numFmtId="165" fontId="6" fillId="3" borderId="8" xfId="0" applyNumberFormat="1" applyFont="1" applyFill="1" applyBorder="1" applyAlignment="1">
      <alignment horizontal="center" vertical="center" wrapText="1"/>
    </xf>
    <xf numFmtId="164" fontId="6" fillId="5" borderId="7" xfId="0" applyNumberFormat="1" applyFont="1" applyFill="1" applyBorder="1" applyAlignment="1">
      <alignment horizontal="center" vertical="center" wrapText="1"/>
    </xf>
    <xf numFmtId="164" fontId="6" fillId="5" borderId="18" xfId="0" applyNumberFormat="1" applyFont="1" applyFill="1" applyBorder="1" applyAlignment="1">
      <alignment horizontal="center" vertical="center" wrapText="1"/>
    </xf>
    <xf numFmtId="2" fontId="6" fillId="3" borderId="19" xfId="0" applyNumberFormat="1" applyFont="1" applyFill="1" applyBorder="1" applyAlignment="1">
      <alignment horizontal="center" vertical="center" wrapText="1"/>
    </xf>
    <xf numFmtId="2" fontId="6" fillId="3" borderId="20" xfId="0" applyNumberFormat="1" applyFont="1" applyFill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268942</xdr:colOff>
      <xdr:row>19</xdr:row>
      <xdr:rowOff>26895</xdr:rowOff>
    </xdr:from>
    <xdr:to>
      <xdr:col>26</xdr:col>
      <xdr:colOff>306883</xdr:colOff>
      <xdr:row>31</xdr:row>
      <xdr:rowOff>141559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C84D02-52A0-4EBC-A011-3732BDC5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6242" y="4134075"/>
          <a:ext cx="2941161" cy="2492104"/>
        </a:xfrm>
        <a:prstGeom prst="rect">
          <a:avLst/>
        </a:prstGeom>
      </xdr:spPr>
    </xdr:pic>
    <xdr:clientData/>
  </xdr:twoCellAnchor>
  <xdr:twoCellAnchor editAs="oneCell">
    <xdr:from>
      <xdr:col>27</xdr:col>
      <xdr:colOff>197223</xdr:colOff>
      <xdr:row>19</xdr:row>
      <xdr:rowOff>44824</xdr:rowOff>
    </xdr:from>
    <xdr:to>
      <xdr:col>30</xdr:col>
      <xdr:colOff>131509</xdr:colOff>
      <xdr:row>31</xdr:row>
      <xdr:rowOff>144357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5FF19D-010B-4CD6-9D4C-A46A35355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17343" y="4152004"/>
          <a:ext cx="2928946" cy="2476973"/>
        </a:xfrm>
        <a:prstGeom prst="rect">
          <a:avLst/>
        </a:prstGeom>
      </xdr:spPr>
    </xdr:pic>
    <xdr:clientData/>
  </xdr:twoCellAnchor>
  <xdr:twoCellAnchor editAs="oneCell">
    <xdr:from>
      <xdr:col>31</xdr:col>
      <xdr:colOff>179294</xdr:colOff>
      <xdr:row>19</xdr:row>
      <xdr:rowOff>17931</xdr:rowOff>
    </xdr:from>
    <xdr:to>
      <xdr:col>34</xdr:col>
      <xdr:colOff>161845</xdr:colOff>
      <xdr:row>31</xdr:row>
      <xdr:rowOff>34249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7227ADD-2181-400C-B12C-77F7858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31334" y="4125111"/>
          <a:ext cx="2809571" cy="2393758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26895</xdr:rowOff>
    </xdr:from>
    <xdr:to>
      <xdr:col>37</xdr:col>
      <xdr:colOff>1241692</xdr:colOff>
      <xdr:row>31</xdr:row>
      <xdr:rowOff>71718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F6D5C51-9F39-4480-A19D-73641F07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09640" y="4134075"/>
          <a:ext cx="2857132" cy="2422263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26894</xdr:rowOff>
    </xdr:from>
    <xdr:to>
      <xdr:col>42</xdr:col>
      <xdr:colOff>111018</xdr:colOff>
      <xdr:row>31</xdr:row>
      <xdr:rowOff>133993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335F2B0-45B3-47DA-AAB7-20812206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42500" y="4134074"/>
          <a:ext cx="2930418" cy="2484539"/>
        </a:xfrm>
        <a:prstGeom prst="rect">
          <a:avLst/>
        </a:prstGeom>
      </xdr:spPr>
    </xdr:pic>
    <xdr:clientData/>
  </xdr:twoCellAnchor>
  <xdr:twoCellAnchor editAs="oneCell">
    <xdr:from>
      <xdr:col>43</xdr:col>
      <xdr:colOff>107577</xdr:colOff>
      <xdr:row>19</xdr:row>
      <xdr:rowOff>17929</xdr:rowOff>
    </xdr:from>
    <xdr:to>
      <xdr:col>46</xdr:col>
      <xdr:colOff>15751</xdr:colOff>
      <xdr:row>31</xdr:row>
      <xdr:rowOff>134470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62689F2-DA17-41B0-BBDF-2B66414C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091497" y="4125109"/>
          <a:ext cx="2933314" cy="2493981"/>
        </a:xfrm>
        <a:prstGeom prst="rect">
          <a:avLst/>
        </a:prstGeom>
      </xdr:spPr>
    </xdr:pic>
    <xdr:clientData/>
  </xdr:twoCellAnchor>
  <xdr:twoCellAnchor editAs="oneCell">
    <xdr:from>
      <xdr:col>47</xdr:col>
      <xdr:colOff>54428</xdr:colOff>
      <xdr:row>19</xdr:row>
      <xdr:rowOff>43543</xdr:rowOff>
    </xdr:from>
    <xdr:to>
      <xdr:col>50</xdr:col>
      <xdr:colOff>39460</xdr:colOff>
      <xdr:row>32</xdr:row>
      <xdr:rowOff>3572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41185E8-859C-4515-B9F9-26E6E22B6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985508" y="4150723"/>
          <a:ext cx="2987312" cy="2535589"/>
        </a:xfrm>
        <a:prstGeom prst="rect">
          <a:avLst/>
        </a:prstGeom>
      </xdr:spPr>
    </xdr:pic>
    <xdr:clientData/>
  </xdr:twoCellAnchor>
  <xdr:twoCellAnchor editAs="oneCell">
    <xdr:from>
      <xdr:col>51</xdr:col>
      <xdr:colOff>10886</xdr:colOff>
      <xdr:row>19</xdr:row>
      <xdr:rowOff>87087</xdr:rowOff>
    </xdr:from>
    <xdr:to>
      <xdr:col>54</xdr:col>
      <xdr:colOff>202747</xdr:colOff>
      <xdr:row>32</xdr:row>
      <xdr:rowOff>130328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3BA2C4B5-8CFE-4578-899F-087BB0F4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812926" y="4194267"/>
          <a:ext cx="3064601" cy="2618801"/>
        </a:xfrm>
        <a:prstGeom prst="rect">
          <a:avLst/>
        </a:prstGeom>
      </xdr:spPr>
    </xdr:pic>
    <xdr:clientData/>
  </xdr:twoCellAnchor>
  <xdr:twoCellAnchor editAs="oneCell">
    <xdr:from>
      <xdr:col>55</xdr:col>
      <xdr:colOff>97972</xdr:colOff>
      <xdr:row>19</xdr:row>
      <xdr:rowOff>21772</xdr:rowOff>
    </xdr:from>
    <xdr:to>
      <xdr:col>57</xdr:col>
      <xdr:colOff>1378404</xdr:colOff>
      <xdr:row>32</xdr:row>
      <xdr:rowOff>175248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D3F1758-B52D-46B5-ABEE-60CAF029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877652" y="4128952"/>
          <a:ext cx="3200672" cy="2729036"/>
        </a:xfrm>
        <a:prstGeom prst="rect">
          <a:avLst/>
        </a:prstGeom>
      </xdr:spPr>
    </xdr:pic>
    <xdr:clientData/>
  </xdr:twoCellAnchor>
  <xdr:twoCellAnchor editAs="oneCell">
    <xdr:from>
      <xdr:col>59</xdr:col>
      <xdr:colOff>76200</xdr:colOff>
      <xdr:row>19</xdr:row>
      <xdr:rowOff>54429</xdr:rowOff>
    </xdr:from>
    <xdr:to>
      <xdr:col>62</xdr:col>
      <xdr:colOff>32656</xdr:colOff>
      <xdr:row>32</xdr:row>
      <xdr:rowOff>189532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68DA51A1-64F5-4E6A-8078-410283C75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145940" y="4161609"/>
          <a:ext cx="3179716" cy="2710663"/>
        </a:xfrm>
        <a:prstGeom prst="rect">
          <a:avLst/>
        </a:prstGeom>
      </xdr:spPr>
    </xdr:pic>
    <xdr:clientData/>
  </xdr:twoCellAnchor>
  <xdr:twoCellAnchor editAs="oneCell">
    <xdr:from>
      <xdr:col>63</xdr:col>
      <xdr:colOff>119743</xdr:colOff>
      <xdr:row>19</xdr:row>
      <xdr:rowOff>21773</xdr:rowOff>
    </xdr:from>
    <xdr:to>
      <xdr:col>66</xdr:col>
      <xdr:colOff>93320</xdr:colOff>
      <xdr:row>32</xdr:row>
      <xdr:rowOff>163286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D3A4E02-13A8-47EC-B8E2-FE0ED127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9258563" y="4128953"/>
          <a:ext cx="3181597" cy="2717073"/>
        </a:xfrm>
        <a:prstGeom prst="rect">
          <a:avLst/>
        </a:prstGeom>
      </xdr:spPr>
    </xdr:pic>
    <xdr:clientData/>
  </xdr:twoCellAnchor>
  <xdr:twoCellAnchor editAs="oneCell">
    <xdr:from>
      <xdr:col>67</xdr:col>
      <xdr:colOff>108857</xdr:colOff>
      <xdr:row>19</xdr:row>
      <xdr:rowOff>21771</xdr:rowOff>
    </xdr:from>
    <xdr:to>
      <xdr:col>69</xdr:col>
      <xdr:colOff>1464127</xdr:colOff>
      <xdr:row>32</xdr:row>
      <xdr:rowOff>120129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74664B2C-6355-4F17-A4F0-408893D7F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370097" y="4128951"/>
          <a:ext cx="3130730" cy="2673918"/>
        </a:xfrm>
        <a:prstGeom prst="rect">
          <a:avLst/>
        </a:prstGeom>
      </xdr:spPr>
    </xdr:pic>
    <xdr:clientData/>
  </xdr:twoCellAnchor>
  <xdr:twoCellAnchor editAs="oneCell">
    <xdr:from>
      <xdr:col>70</xdr:col>
      <xdr:colOff>674914</xdr:colOff>
      <xdr:row>19</xdr:row>
      <xdr:rowOff>21771</xdr:rowOff>
    </xdr:from>
    <xdr:to>
      <xdr:col>73</xdr:col>
      <xdr:colOff>1257300</xdr:colOff>
      <xdr:row>32</xdr:row>
      <xdr:rowOff>184433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6EE32701-17CE-46AB-93B3-C7938D1B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281334" y="4128951"/>
          <a:ext cx="3203666" cy="2738222"/>
        </a:xfrm>
        <a:prstGeom prst="rect">
          <a:avLst/>
        </a:prstGeom>
      </xdr:spPr>
    </xdr:pic>
    <xdr:clientData/>
  </xdr:twoCellAnchor>
  <xdr:twoCellAnchor editAs="oneCell">
    <xdr:from>
      <xdr:col>75</xdr:col>
      <xdr:colOff>76200</xdr:colOff>
      <xdr:row>19</xdr:row>
      <xdr:rowOff>10886</xdr:rowOff>
    </xdr:from>
    <xdr:to>
      <xdr:col>78</xdr:col>
      <xdr:colOff>133350</xdr:colOff>
      <xdr:row>32</xdr:row>
      <xdr:rowOff>182734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90F3B7A-D568-436D-A072-9A804556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696580" y="4118066"/>
          <a:ext cx="3234690" cy="2747408"/>
        </a:xfrm>
        <a:prstGeom prst="rect">
          <a:avLst/>
        </a:prstGeom>
      </xdr:spPr>
    </xdr:pic>
    <xdr:clientData/>
  </xdr:twoCellAnchor>
  <xdr:twoCellAnchor editAs="oneCell">
    <xdr:from>
      <xdr:col>79</xdr:col>
      <xdr:colOff>283028</xdr:colOff>
      <xdr:row>19</xdr:row>
      <xdr:rowOff>21772</xdr:rowOff>
    </xdr:from>
    <xdr:to>
      <xdr:col>82</xdr:col>
      <xdr:colOff>193223</xdr:colOff>
      <xdr:row>32</xdr:row>
      <xdr:rowOff>184434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371732B5-7715-4ACC-A444-434C93E4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995348" y="4128952"/>
          <a:ext cx="3217275" cy="2738222"/>
        </a:xfrm>
        <a:prstGeom prst="rect">
          <a:avLst/>
        </a:prstGeom>
      </xdr:spPr>
    </xdr:pic>
    <xdr:clientData/>
  </xdr:twoCellAnchor>
  <xdr:twoCellAnchor editAs="oneCell">
    <xdr:from>
      <xdr:col>83</xdr:col>
      <xdr:colOff>206830</xdr:colOff>
      <xdr:row>19</xdr:row>
      <xdr:rowOff>54429</xdr:rowOff>
    </xdr:from>
    <xdr:to>
      <xdr:col>86</xdr:col>
      <xdr:colOff>234292</xdr:colOff>
      <xdr:row>32</xdr:row>
      <xdr:rowOff>141514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82804506-1AB3-4C4F-84F7-657DE955C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247310" y="4161609"/>
          <a:ext cx="3128802" cy="2662645"/>
        </a:xfrm>
        <a:prstGeom prst="rect">
          <a:avLst/>
        </a:prstGeom>
      </xdr:spPr>
    </xdr:pic>
    <xdr:clientData/>
  </xdr:twoCellAnchor>
  <xdr:twoCellAnchor editAs="oneCell">
    <xdr:from>
      <xdr:col>87</xdr:col>
      <xdr:colOff>141514</xdr:colOff>
      <xdr:row>19</xdr:row>
      <xdr:rowOff>76200</xdr:rowOff>
    </xdr:from>
    <xdr:to>
      <xdr:col>90</xdr:col>
      <xdr:colOff>48984</xdr:colOff>
      <xdr:row>33</xdr:row>
      <xdr:rowOff>33733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E7AD389-6D82-4FEC-B3BF-34BB7E90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167254" y="4183380"/>
          <a:ext cx="3191690" cy="2731213"/>
        </a:xfrm>
        <a:prstGeom prst="rect">
          <a:avLst/>
        </a:prstGeom>
      </xdr:spPr>
    </xdr:pic>
    <xdr:clientData/>
  </xdr:twoCellAnchor>
  <xdr:twoCellAnchor editAs="oneCell">
    <xdr:from>
      <xdr:col>91</xdr:col>
      <xdr:colOff>283028</xdr:colOff>
      <xdr:row>19</xdr:row>
      <xdr:rowOff>32658</xdr:rowOff>
    </xdr:from>
    <xdr:to>
      <xdr:col>94</xdr:col>
      <xdr:colOff>258535</xdr:colOff>
      <xdr:row>33</xdr:row>
      <xdr:rowOff>54494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241CBE4-FE7E-4D2E-AA2C-4718DFF7F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8484528" y="4139838"/>
          <a:ext cx="3274967" cy="2795516"/>
        </a:xfrm>
        <a:prstGeom prst="rect">
          <a:avLst/>
        </a:prstGeom>
      </xdr:spPr>
    </xdr:pic>
    <xdr:clientData/>
  </xdr:twoCellAnchor>
  <xdr:twoCellAnchor editAs="oneCell">
    <xdr:from>
      <xdr:col>95</xdr:col>
      <xdr:colOff>87086</xdr:colOff>
      <xdr:row>19</xdr:row>
      <xdr:rowOff>65315</xdr:rowOff>
    </xdr:from>
    <xdr:to>
      <xdr:col>98</xdr:col>
      <xdr:colOff>112155</xdr:colOff>
      <xdr:row>33</xdr:row>
      <xdr:rowOff>97972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41135F6-6759-4452-A21B-F82E8336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2510066" y="4172495"/>
          <a:ext cx="3278809" cy="2806337"/>
        </a:xfrm>
        <a:prstGeom prst="rect">
          <a:avLst/>
        </a:prstGeom>
      </xdr:spPr>
    </xdr:pic>
    <xdr:clientData/>
  </xdr:twoCellAnchor>
  <xdr:twoCellAnchor editAs="oneCell">
    <xdr:from>
      <xdr:col>99</xdr:col>
      <xdr:colOff>0</xdr:colOff>
      <xdr:row>19</xdr:row>
      <xdr:rowOff>32658</xdr:rowOff>
    </xdr:from>
    <xdr:to>
      <xdr:col>102</xdr:col>
      <xdr:colOff>206828</xdr:colOff>
      <xdr:row>34</xdr:row>
      <xdr:rowOff>14715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88F6925B-2EBF-409F-AAF9-71FE6E635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522540" y="4139838"/>
          <a:ext cx="3452948" cy="2953857"/>
        </a:xfrm>
        <a:prstGeom prst="rect">
          <a:avLst/>
        </a:prstGeom>
      </xdr:spPr>
    </xdr:pic>
    <xdr:clientData/>
  </xdr:twoCellAnchor>
  <xdr:twoCellAnchor editAs="oneCell">
    <xdr:from>
      <xdr:col>103</xdr:col>
      <xdr:colOff>54429</xdr:colOff>
      <xdr:row>19</xdr:row>
      <xdr:rowOff>10885</xdr:rowOff>
    </xdr:from>
    <xdr:to>
      <xdr:col>106</xdr:col>
      <xdr:colOff>481727</xdr:colOff>
      <xdr:row>34</xdr:row>
      <xdr:rowOff>65312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601F1CC-BE64-4211-8889-5DA651172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0790829" y="4118065"/>
          <a:ext cx="3559118" cy="3026227"/>
        </a:xfrm>
        <a:prstGeom prst="rect">
          <a:avLst/>
        </a:prstGeom>
      </xdr:spPr>
    </xdr:pic>
    <xdr:clientData/>
  </xdr:twoCellAnchor>
  <xdr:twoCellAnchor editAs="oneCell">
    <xdr:from>
      <xdr:col>107</xdr:col>
      <xdr:colOff>1</xdr:colOff>
      <xdr:row>19</xdr:row>
      <xdr:rowOff>65315</xdr:rowOff>
    </xdr:from>
    <xdr:to>
      <xdr:col>110</xdr:col>
      <xdr:colOff>300207</xdr:colOff>
      <xdr:row>34</xdr:row>
      <xdr:rowOff>65313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77D80EF-2BE1-4303-ADEE-253AF817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82621" y="4172495"/>
          <a:ext cx="3485366" cy="2971798"/>
        </a:xfrm>
        <a:prstGeom prst="rect">
          <a:avLst/>
        </a:prstGeom>
      </xdr:spPr>
    </xdr:pic>
    <xdr:clientData/>
  </xdr:twoCellAnchor>
  <xdr:twoCellAnchor editAs="oneCell">
    <xdr:from>
      <xdr:col>111</xdr:col>
      <xdr:colOff>206829</xdr:colOff>
      <xdr:row>19</xdr:row>
      <xdr:rowOff>10886</xdr:rowOff>
    </xdr:from>
    <xdr:to>
      <xdr:col>114</xdr:col>
      <xdr:colOff>304998</xdr:colOff>
      <xdr:row>33</xdr:row>
      <xdr:rowOff>198119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3E611B0-63EC-4FAC-BC4F-8B0645F6F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363329" y="4118066"/>
          <a:ext cx="3466209" cy="2960913"/>
        </a:xfrm>
        <a:prstGeom prst="rect">
          <a:avLst/>
        </a:prstGeom>
      </xdr:spPr>
    </xdr:pic>
    <xdr:clientData/>
  </xdr:twoCellAnchor>
  <xdr:twoCellAnchor editAs="oneCell">
    <xdr:from>
      <xdr:col>115</xdr:col>
      <xdr:colOff>119743</xdr:colOff>
      <xdr:row>19</xdr:row>
      <xdr:rowOff>21772</xdr:rowOff>
    </xdr:from>
    <xdr:to>
      <xdr:col>118</xdr:col>
      <xdr:colOff>658586</xdr:colOff>
      <xdr:row>33</xdr:row>
      <xdr:rowOff>163028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4A62DFBC-E6C3-46D5-BFC7-08FE392A6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3535823" y="4128952"/>
          <a:ext cx="3426823" cy="2914936"/>
        </a:xfrm>
        <a:prstGeom prst="rect">
          <a:avLst/>
        </a:prstGeom>
      </xdr:spPr>
    </xdr:pic>
    <xdr:clientData/>
  </xdr:twoCellAnchor>
  <xdr:twoCellAnchor editAs="oneCell">
    <xdr:from>
      <xdr:col>119</xdr:col>
      <xdr:colOff>174171</xdr:colOff>
      <xdr:row>19</xdr:row>
      <xdr:rowOff>32659</xdr:rowOff>
    </xdr:from>
    <xdr:to>
      <xdr:col>122</xdr:col>
      <xdr:colOff>274865</xdr:colOff>
      <xdr:row>33</xdr:row>
      <xdr:rowOff>137171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8095B9C-167C-4184-8201-0DCFA2FAD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484071" y="4139839"/>
          <a:ext cx="3377294" cy="2878192"/>
        </a:xfrm>
        <a:prstGeom prst="rect">
          <a:avLst/>
        </a:prstGeom>
      </xdr:spPr>
    </xdr:pic>
    <xdr:clientData/>
  </xdr:twoCellAnchor>
  <xdr:twoCellAnchor editAs="oneCell">
    <xdr:from>
      <xdr:col>123</xdr:col>
      <xdr:colOff>163285</xdr:colOff>
      <xdr:row>19</xdr:row>
      <xdr:rowOff>54430</xdr:rowOff>
    </xdr:from>
    <xdr:to>
      <xdr:col>126</xdr:col>
      <xdr:colOff>160564</xdr:colOff>
      <xdr:row>33</xdr:row>
      <xdr:rowOff>149756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423B8FE-A2C4-4958-ACA1-14758ECE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755625" y="4161610"/>
          <a:ext cx="3357699" cy="2869006"/>
        </a:xfrm>
        <a:prstGeom prst="rect">
          <a:avLst/>
        </a:prstGeom>
      </xdr:spPr>
    </xdr:pic>
    <xdr:clientData/>
  </xdr:twoCellAnchor>
  <xdr:twoCellAnchor editAs="oneCell">
    <xdr:from>
      <xdr:col>127</xdr:col>
      <xdr:colOff>370115</xdr:colOff>
      <xdr:row>19</xdr:row>
      <xdr:rowOff>32657</xdr:rowOff>
    </xdr:from>
    <xdr:to>
      <xdr:col>130</xdr:col>
      <xdr:colOff>615044</xdr:colOff>
      <xdr:row>33</xdr:row>
      <xdr:rowOff>155540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DD4B3BAD-A675-4933-A50B-3C991ACBC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6260135" y="4139837"/>
          <a:ext cx="3399609" cy="2896563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</xdr:colOff>
      <xdr:row>79</xdr:row>
      <xdr:rowOff>57150</xdr:rowOff>
    </xdr:from>
    <xdr:to>
      <xdr:col>32</xdr:col>
      <xdr:colOff>295833</xdr:colOff>
      <xdr:row>93</xdr:row>
      <xdr:rowOff>142875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88F0543F-7043-429D-99C2-2325724C0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605105" y="16036290"/>
          <a:ext cx="3425748" cy="2859405"/>
        </a:xfrm>
        <a:prstGeom prst="rect">
          <a:avLst/>
        </a:prstGeom>
      </xdr:spPr>
    </xdr:pic>
    <xdr:clientData/>
  </xdr:twoCellAnchor>
  <xdr:twoCellAnchor editAs="oneCell">
    <xdr:from>
      <xdr:col>33</xdr:col>
      <xdr:colOff>142875</xdr:colOff>
      <xdr:row>79</xdr:row>
      <xdr:rowOff>47626</xdr:rowOff>
    </xdr:from>
    <xdr:to>
      <xdr:col>36</xdr:col>
      <xdr:colOff>520194</xdr:colOff>
      <xdr:row>93</xdr:row>
      <xdr:rowOff>161926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574C8A63-9CDB-406B-A4E0-174F57D1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487495" y="16026766"/>
          <a:ext cx="3448179" cy="2887980"/>
        </a:xfrm>
        <a:prstGeom prst="rect">
          <a:avLst/>
        </a:prstGeom>
      </xdr:spPr>
    </xdr:pic>
    <xdr:clientData/>
  </xdr:twoCellAnchor>
  <xdr:twoCellAnchor editAs="oneCell">
    <xdr:from>
      <xdr:col>37</xdr:col>
      <xdr:colOff>47625</xdr:colOff>
      <xdr:row>79</xdr:row>
      <xdr:rowOff>28575</xdr:rowOff>
    </xdr:from>
    <xdr:to>
      <xdr:col>40</xdr:col>
      <xdr:colOff>619125</xdr:colOff>
      <xdr:row>94</xdr:row>
      <xdr:rowOff>18297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56978C0C-17D2-47BF-8CE9-3E602F78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072705" y="16007715"/>
          <a:ext cx="3543300" cy="2961522"/>
        </a:xfrm>
        <a:prstGeom prst="rect">
          <a:avLst/>
        </a:prstGeom>
      </xdr:spPr>
    </xdr:pic>
    <xdr:clientData/>
  </xdr:twoCellAnchor>
  <xdr:twoCellAnchor editAs="oneCell">
    <xdr:from>
      <xdr:col>40</xdr:col>
      <xdr:colOff>657225</xdr:colOff>
      <xdr:row>79</xdr:row>
      <xdr:rowOff>38101</xdr:rowOff>
    </xdr:from>
    <xdr:to>
      <xdr:col>44</xdr:col>
      <xdr:colOff>590015</xdr:colOff>
      <xdr:row>94</xdr:row>
      <xdr:rowOff>123826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AB288EED-481D-452C-A08D-0A3CD8F74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6654105" y="16017241"/>
          <a:ext cx="3651350" cy="3057525"/>
        </a:xfrm>
        <a:prstGeom prst="rect">
          <a:avLst/>
        </a:prstGeom>
      </xdr:spPr>
    </xdr:pic>
    <xdr:clientData/>
  </xdr:twoCellAnchor>
  <xdr:twoCellAnchor editAs="oneCell">
    <xdr:from>
      <xdr:col>45</xdr:col>
      <xdr:colOff>95250</xdr:colOff>
      <xdr:row>79</xdr:row>
      <xdr:rowOff>38100</xdr:rowOff>
    </xdr:from>
    <xdr:to>
      <xdr:col>48</xdr:col>
      <xdr:colOff>605875</xdr:colOff>
      <xdr:row>95</xdr:row>
      <xdr:rowOff>9525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239EA0F6-8802-4F5E-B486-8167847D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534590" y="16017240"/>
          <a:ext cx="3756745" cy="3141345"/>
        </a:xfrm>
        <a:prstGeom prst="rect">
          <a:avLst/>
        </a:prstGeom>
      </xdr:spPr>
    </xdr:pic>
    <xdr:clientData/>
  </xdr:twoCellAnchor>
  <xdr:twoCellAnchor editAs="oneCell">
    <xdr:from>
      <xdr:col>48</xdr:col>
      <xdr:colOff>695325</xdr:colOff>
      <xdr:row>79</xdr:row>
      <xdr:rowOff>28575</xdr:rowOff>
    </xdr:from>
    <xdr:to>
      <xdr:col>52</xdr:col>
      <xdr:colOff>677123</xdr:colOff>
      <xdr:row>95</xdr:row>
      <xdr:rowOff>76200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CEE20B3A-A028-4BE6-B80D-E647BA168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4380785" y="16007715"/>
          <a:ext cx="3845138" cy="3217545"/>
        </a:xfrm>
        <a:prstGeom prst="rect">
          <a:avLst/>
        </a:prstGeom>
      </xdr:spPr>
    </xdr:pic>
    <xdr:clientData/>
  </xdr:twoCellAnchor>
  <xdr:twoCellAnchor editAs="oneCell">
    <xdr:from>
      <xdr:col>53</xdr:col>
      <xdr:colOff>104775</xdr:colOff>
      <xdr:row>79</xdr:row>
      <xdr:rowOff>38101</xdr:rowOff>
    </xdr:from>
    <xdr:to>
      <xdr:col>56</xdr:col>
      <xdr:colOff>533400</xdr:colOff>
      <xdr:row>95</xdr:row>
      <xdr:rowOff>60897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80B86706-EBF7-4FD6-93AE-5CD1A4B9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362235" y="16017241"/>
          <a:ext cx="3804285" cy="3192716"/>
        </a:xfrm>
        <a:prstGeom prst="rect">
          <a:avLst/>
        </a:prstGeom>
      </xdr:spPr>
    </xdr:pic>
    <xdr:clientData/>
  </xdr:twoCellAnchor>
  <xdr:twoCellAnchor editAs="oneCell">
    <xdr:from>
      <xdr:col>57</xdr:col>
      <xdr:colOff>19050</xdr:colOff>
      <xdr:row>79</xdr:row>
      <xdr:rowOff>47626</xdr:rowOff>
    </xdr:from>
    <xdr:to>
      <xdr:col>60</xdr:col>
      <xdr:colOff>713459</xdr:colOff>
      <xdr:row>95</xdr:row>
      <xdr:rowOff>85725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771B40F6-FDD3-4F66-B1B3-D7A15ADA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2718970" y="16026766"/>
          <a:ext cx="3849089" cy="3208019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79</xdr:row>
      <xdr:rowOff>28576</xdr:rowOff>
    </xdr:from>
    <xdr:to>
      <xdr:col>64</xdr:col>
      <xdr:colOff>707460</xdr:colOff>
      <xdr:row>95</xdr:row>
      <xdr:rowOff>85726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394055BC-3608-489E-B30A-7E3204548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6669940" y="16007716"/>
          <a:ext cx="3869760" cy="3227070"/>
        </a:xfrm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79</xdr:row>
      <xdr:rowOff>57150</xdr:rowOff>
    </xdr:from>
    <xdr:to>
      <xdr:col>68</xdr:col>
      <xdr:colOff>659121</xdr:colOff>
      <xdr:row>95</xdr:row>
      <xdr:rowOff>161925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126681D0-A7BB-43CC-96ED-7EB97048D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678060" y="16036290"/>
          <a:ext cx="3935721" cy="3274695"/>
        </a:xfrm>
        <a:prstGeom prst="rect">
          <a:avLst/>
        </a:prstGeom>
      </xdr:spPr>
    </xdr:pic>
    <xdr:clientData/>
  </xdr:twoCellAnchor>
  <xdr:twoCellAnchor editAs="oneCell">
    <xdr:from>
      <xdr:col>69</xdr:col>
      <xdr:colOff>123825</xdr:colOff>
      <xdr:row>79</xdr:row>
      <xdr:rowOff>9526</xdr:rowOff>
    </xdr:from>
    <xdr:to>
      <xdr:col>72</xdr:col>
      <xdr:colOff>677122</xdr:colOff>
      <xdr:row>95</xdr:row>
      <xdr:rowOff>57150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145137D3-6DE1-4E33-A141-D090744B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5160525" y="15988666"/>
          <a:ext cx="3852757" cy="3217544"/>
        </a:xfrm>
        <a:prstGeom prst="rect">
          <a:avLst/>
        </a:prstGeom>
      </xdr:spPr>
    </xdr:pic>
    <xdr:clientData/>
  </xdr:twoCellAnchor>
  <xdr:twoCellAnchor editAs="oneCell">
    <xdr:from>
      <xdr:col>73</xdr:col>
      <xdr:colOff>95250</xdr:colOff>
      <xdr:row>79</xdr:row>
      <xdr:rowOff>28575</xdr:rowOff>
    </xdr:from>
    <xdr:to>
      <xdr:col>76</xdr:col>
      <xdr:colOff>752475</xdr:colOff>
      <xdr:row>95</xdr:row>
      <xdr:rowOff>3144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9F384C60-407B-43AA-8485-830145177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9322950" y="16007715"/>
          <a:ext cx="3773805" cy="3144489"/>
        </a:xfrm>
        <a:prstGeom prst="rect">
          <a:avLst/>
        </a:prstGeom>
      </xdr:spPr>
    </xdr:pic>
    <xdr:clientData/>
  </xdr:twoCellAnchor>
  <xdr:twoCellAnchor editAs="oneCell">
    <xdr:from>
      <xdr:col>77</xdr:col>
      <xdr:colOff>295275</xdr:colOff>
      <xdr:row>79</xdr:row>
      <xdr:rowOff>19050</xdr:rowOff>
    </xdr:from>
    <xdr:to>
      <xdr:col>80</xdr:col>
      <xdr:colOff>545579</xdr:colOff>
      <xdr:row>94</xdr:row>
      <xdr:rowOff>19050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38AC6740-B10C-4EEF-AE05-15533E4C6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470135" y="15998190"/>
          <a:ext cx="3565004" cy="2971800"/>
        </a:xfrm>
        <a:prstGeom prst="rect">
          <a:avLst/>
        </a:prstGeom>
      </xdr:spPr>
    </xdr:pic>
    <xdr:clientData/>
  </xdr:twoCellAnchor>
  <xdr:twoCellAnchor editAs="oneCell">
    <xdr:from>
      <xdr:col>81</xdr:col>
      <xdr:colOff>333375</xdr:colOff>
      <xdr:row>79</xdr:row>
      <xdr:rowOff>47626</xdr:rowOff>
    </xdr:from>
    <xdr:to>
      <xdr:col>84</xdr:col>
      <xdr:colOff>379416</xdr:colOff>
      <xdr:row>94</xdr:row>
      <xdr:rowOff>76201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64CB153D-3E01-480C-88CD-D474B904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7615415" y="16026766"/>
          <a:ext cx="3596961" cy="3000375"/>
        </a:xfrm>
        <a:prstGeom prst="rect">
          <a:avLst/>
        </a:prstGeom>
      </xdr:spPr>
    </xdr:pic>
    <xdr:clientData/>
  </xdr:twoCellAnchor>
  <xdr:twoCellAnchor editAs="oneCell">
    <xdr:from>
      <xdr:col>85</xdr:col>
      <xdr:colOff>190500</xdr:colOff>
      <xdr:row>79</xdr:row>
      <xdr:rowOff>19051</xdr:rowOff>
    </xdr:from>
    <xdr:to>
      <xdr:col>88</xdr:col>
      <xdr:colOff>590550</xdr:colOff>
      <xdr:row>94</xdr:row>
      <xdr:rowOff>121304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61922437-CFF6-4E77-A583-AC3C6A75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1861660" y="15998191"/>
          <a:ext cx="3676650" cy="3074053"/>
        </a:xfrm>
        <a:prstGeom prst="rect">
          <a:avLst/>
        </a:prstGeom>
      </xdr:spPr>
    </xdr:pic>
    <xdr:clientData/>
  </xdr:twoCellAnchor>
  <xdr:twoCellAnchor editAs="oneCell">
    <xdr:from>
      <xdr:col>89</xdr:col>
      <xdr:colOff>190500</xdr:colOff>
      <xdr:row>79</xdr:row>
      <xdr:rowOff>66675</xdr:rowOff>
    </xdr:from>
    <xdr:to>
      <xdr:col>92</xdr:col>
      <xdr:colOff>495300</xdr:colOff>
      <xdr:row>94</xdr:row>
      <xdr:rowOff>72473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7BD5EF28-C507-4C30-BA5B-1AE3EC094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5968840" y="16045815"/>
          <a:ext cx="3558540" cy="2977598"/>
        </a:xfrm>
        <a:prstGeom prst="rect">
          <a:avLst/>
        </a:prstGeom>
      </xdr:spPr>
    </xdr:pic>
    <xdr:clientData/>
  </xdr:twoCellAnchor>
  <xdr:twoCellAnchor editAs="oneCell">
    <xdr:from>
      <xdr:col>93</xdr:col>
      <xdr:colOff>28575</xdr:colOff>
      <xdr:row>79</xdr:row>
      <xdr:rowOff>19050</xdr:rowOff>
    </xdr:from>
    <xdr:to>
      <xdr:col>96</xdr:col>
      <xdr:colOff>665501</xdr:colOff>
      <xdr:row>94</xdr:row>
      <xdr:rowOff>152400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923BAFD8-A28C-4ACB-AB24-C457C2473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0119835" y="15998190"/>
          <a:ext cx="3700166" cy="3105150"/>
        </a:xfrm>
        <a:prstGeom prst="rect">
          <a:avLst/>
        </a:prstGeom>
      </xdr:spPr>
    </xdr:pic>
    <xdr:clientData/>
  </xdr:twoCellAnchor>
  <xdr:twoCellAnchor editAs="oneCell">
    <xdr:from>
      <xdr:col>97</xdr:col>
      <xdr:colOff>114300</xdr:colOff>
      <xdr:row>79</xdr:row>
      <xdr:rowOff>38101</xdr:rowOff>
    </xdr:from>
    <xdr:to>
      <xdr:col>100</xdr:col>
      <xdr:colOff>695325</xdr:colOff>
      <xdr:row>95</xdr:row>
      <xdr:rowOff>52859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59CFFA70-FEFB-4E90-B965-0D9210E7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4244160" y="16017241"/>
          <a:ext cx="3819525" cy="3184678"/>
        </a:xfrm>
        <a:prstGeom prst="rect">
          <a:avLst/>
        </a:prstGeom>
      </xdr:spPr>
    </xdr:pic>
    <xdr:clientData/>
  </xdr:twoCellAnchor>
  <xdr:twoCellAnchor editAs="oneCell">
    <xdr:from>
      <xdr:col>101</xdr:col>
      <xdr:colOff>200025</xdr:colOff>
      <xdr:row>79</xdr:row>
      <xdr:rowOff>47626</xdr:rowOff>
    </xdr:from>
    <xdr:to>
      <xdr:col>104</xdr:col>
      <xdr:colOff>638175</xdr:colOff>
      <xdr:row>94</xdr:row>
      <xdr:rowOff>133803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2DEC2148-E74B-4510-B685-396B27A0B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8505645" y="16026766"/>
          <a:ext cx="3653790" cy="3057977"/>
        </a:xfrm>
        <a:prstGeom prst="rect">
          <a:avLst/>
        </a:prstGeom>
      </xdr:spPr>
    </xdr:pic>
    <xdr:clientData/>
  </xdr:twoCellAnchor>
  <xdr:twoCellAnchor editAs="oneCell">
    <xdr:from>
      <xdr:col>104</xdr:col>
      <xdr:colOff>723900</xdr:colOff>
      <xdr:row>79</xdr:row>
      <xdr:rowOff>47626</xdr:rowOff>
    </xdr:from>
    <xdr:to>
      <xdr:col>108</xdr:col>
      <xdr:colOff>473938</xdr:colOff>
      <xdr:row>95</xdr:row>
      <xdr:rowOff>9526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5F406CF1-0B8A-41BB-8DF1-F858182CC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2245160" y="16026766"/>
          <a:ext cx="3773398" cy="3131820"/>
        </a:xfrm>
        <a:prstGeom prst="rect">
          <a:avLst/>
        </a:prstGeom>
      </xdr:spPr>
    </xdr:pic>
    <xdr:clientData/>
  </xdr:twoCellAnchor>
  <xdr:twoCellAnchor editAs="oneCell">
    <xdr:from>
      <xdr:col>109</xdr:col>
      <xdr:colOff>66675</xdr:colOff>
      <xdr:row>79</xdr:row>
      <xdr:rowOff>38101</xdr:rowOff>
    </xdr:from>
    <xdr:to>
      <xdr:col>112</xdr:col>
      <xdr:colOff>514484</xdr:colOff>
      <xdr:row>95</xdr:row>
      <xdr:rowOff>133351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23A3EC57-4A81-4DB3-B6F1-400C457E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594275" y="16017241"/>
          <a:ext cx="3922529" cy="3265170"/>
        </a:xfrm>
        <a:prstGeom prst="rect">
          <a:avLst/>
        </a:prstGeom>
      </xdr:spPr>
    </xdr:pic>
    <xdr:clientData/>
  </xdr:twoCellAnchor>
  <xdr:twoCellAnchor editAs="oneCell">
    <xdr:from>
      <xdr:col>113</xdr:col>
      <xdr:colOff>161925</xdr:colOff>
      <xdr:row>79</xdr:row>
      <xdr:rowOff>133351</xdr:rowOff>
    </xdr:from>
    <xdr:to>
      <xdr:col>116</xdr:col>
      <xdr:colOff>586490</xdr:colOff>
      <xdr:row>95</xdr:row>
      <xdr:rowOff>1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F611CADB-C472-414F-8B5D-9BCD1229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1078645" y="16112491"/>
          <a:ext cx="3632585" cy="3036570"/>
        </a:xfrm>
        <a:prstGeom prst="rect">
          <a:avLst/>
        </a:prstGeom>
      </xdr:spPr>
    </xdr:pic>
    <xdr:clientData/>
  </xdr:twoCellAnchor>
  <xdr:twoCellAnchor editAs="oneCell">
    <xdr:from>
      <xdr:col>117</xdr:col>
      <xdr:colOff>219075</xdr:colOff>
      <xdr:row>79</xdr:row>
      <xdr:rowOff>57151</xdr:rowOff>
    </xdr:from>
    <xdr:to>
      <xdr:col>120</xdr:col>
      <xdr:colOff>828675</xdr:colOff>
      <xdr:row>94</xdr:row>
      <xdr:rowOff>143328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01F090A2-5E7F-4B75-A57A-A20C9ACFD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5265835" y="16036291"/>
          <a:ext cx="3665220" cy="3057977"/>
        </a:xfrm>
        <a:prstGeom prst="rect">
          <a:avLst/>
        </a:prstGeom>
      </xdr:spPr>
    </xdr:pic>
    <xdr:clientData/>
  </xdr:twoCellAnchor>
  <xdr:twoCellAnchor editAs="oneCell">
    <xdr:from>
      <xdr:col>121</xdr:col>
      <xdr:colOff>133351</xdr:colOff>
      <xdr:row>79</xdr:row>
      <xdr:rowOff>19051</xdr:rowOff>
    </xdr:from>
    <xdr:to>
      <xdr:col>124</xdr:col>
      <xdr:colOff>526864</xdr:colOff>
      <xdr:row>94</xdr:row>
      <xdr:rowOff>123825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3371A795-6C86-44AB-A54C-7B039DE56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9378731" y="15998191"/>
          <a:ext cx="3677733" cy="3076574"/>
        </a:xfrm>
        <a:prstGeom prst="rect">
          <a:avLst/>
        </a:prstGeom>
      </xdr:spPr>
    </xdr:pic>
    <xdr:clientData/>
  </xdr:twoCellAnchor>
  <xdr:twoCellAnchor editAs="oneCell">
    <xdr:from>
      <xdr:col>125</xdr:col>
      <xdr:colOff>19050</xdr:colOff>
      <xdr:row>79</xdr:row>
      <xdr:rowOff>57150</xdr:rowOff>
    </xdr:from>
    <xdr:to>
      <xdr:col>128</xdr:col>
      <xdr:colOff>470428</xdr:colOff>
      <xdr:row>94</xdr:row>
      <xdr:rowOff>114300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00C3F232-FA10-40E6-9640-3F1897A2C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3569730" y="16036290"/>
          <a:ext cx="3636538" cy="3028950"/>
        </a:xfrm>
        <a:prstGeom prst="rect">
          <a:avLst/>
        </a:prstGeom>
      </xdr:spPr>
    </xdr:pic>
    <xdr:clientData/>
  </xdr:twoCellAnchor>
  <xdr:twoCellAnchor editAs="oneCell">
    <xdr:from>
      <xdr:col>129</xdr:col>
      <xdr:colOff>142875</xdr:colOff>
      <xdr:row>79</xdr:row>
      <xdr:rowOff>104775</xdr:rowOff>
    </xdr:from>
    <xdr:to>
      <xdr:col>132</xdr:col>
      <xdr:colOff>542055</xdr:colOff>
      <xdr:row>94</xdr:row>
      <xdr:rowOff>85725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EA2768BF-B251-4F1A-BE3D-E6E306257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7884555" y="16083915"/>
          <a:ext cx="3523380" cy="2952750"/>
        </a:xfrm>
        <a:prstGeom prst="rect">
          <a:avLst/>
        </a:prstGeom>
      </xdr:spPr>
    </xdr:pic>
    <xdr:clientData/>
  </xdr:twoCellAnchor>
  <xdr:twoCellAnchor editAs="oneCell">
    <xdr:from>
      <xdr:col>133</xdr:col>
      <xdr:colOff>295275</xdr:colOff>
      <xdr:row>79</xdr:row>
      <xdr:rowOff>57151</xdr:rowOff>
    </xdr:from>
    <xdr:to>
      <xdr:col>136</xdr:col>
      <xdr:colOff>561975</xdr:colOff>
      <xdr:row>94</xdr:row>
      <xdr:rowOff>151365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F2E6E13-10CC-4655-BB22-F64D16386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32197475" y="16036291"/>
          <a:ext cx="3672840" cy="3066014"/>
        </a:xfrm>
        <a:prstGeom prst="rect">
          <a:avLst/>
        </a:prstGeom>
      </xdr:spPr>
    </xdr:pic>
    <xdr:clientData/>
  </xdr:twoCellAnchor>
  <xdr:twoCellAnchor editAs="oneCell">
    <xdr:from>
      <xdr:col>29</xdr:col>
      <xdr:colOff>104775</xdr:colOff>
      <xdr:row>142</xdr:row>
      <xdr:rowOff>9525</xdr:rowOff>
    </xdr:from>
    <xdr:to>
      <xdr:col>32</xdr:col>
      <xdr:colOff>285259</xdr:colOff>
      <xdr:row>156</xdr:row>
      <xdr:rowOff>38100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0329F61A-9F92-4C4B-B883-266F475D3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5662255" y="28454985"/>
          <a:ext cx="3358024" cy="2802255"/>
        </a:xfrm>
        <a:prstGeom prst="rect">
          <a:avLst/>
        </a:prstGeom>
      </xdr:spPr>
    </xdr:pic>
    <xdr:clientData/>
  </xdr:twoCellAnchor>
  <xdr:twoCellAnchor editAs="oneCell">
    <xdr:from>
      <xdr:col>33</xdr:col>
      <xdr:colOff>161925</xdr:colOff>
      <xdr:row>142</xdr:row>
      <xdr:rowOff>66675</xdr:rowOff>
    </xdr:from>
    <xdr:to>
      <xdr:col>36</xdr:col>
      <xdr:colOff>415085</xdr:colOff>
      <xdr:row>156</xdr:row>
      <xdr:rowOff>76200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C444BD91-4685-4CDA-8346-F5AC7096C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9506545" y="28512135"/>
          <a:ext cx="3324020" cy="2783205"/>
        </a:xfrm>
        <a:prstGeom prst="rect">
          <a:avLst/>
        </a:prstGeom>
      </xdr:spPr>
    </xdr:pic>
    <xdr:clientData/>
  </xdr:twoCellAnchor>
  <xdr:twoCellAnchor editAs="oneCell">
    <xdr:from>
      <xdr:col>37</xdr:col>
      <xdr:colOff>142875</xdr:colOff>
      <xdr:row>142</xdr:row>
      <xdr:rowOff>95250</xdr:rowOff>
    </xdr:from>
    <xdr:to>
      <xdr:col>40</xdr:col>
      <xdr:colOff>552450</xdr:colOff>
      <xdr:row>156</xdr:row>
      <xdr:rowOff>148353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561BE01-B7B2-4956-A435-49E7F0B99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167955" y="28540710"/>
          <a:ext cx="3381375" cy="2826783"/>
        </a:xfrm>
        <a:prstGeom prst="rect">
          <a:avLst/>
        </a:prstGeom>
      </xdr:spPr>
    </xdr:pic>
    <xdr:clientData/>
  </xdr:twoCellAnchor>
  <xdr:twoCellAnchor editAs="oneCell">
    <xdr:from>
      <xdr:col>41</xdr:col>
      <xdr:colOff>161925</xdr:colOff>
      <xdr:row>142</xdr:row>
      <xdr:rowOff>19051</xdr:rowOff>
    </xdr:from>
    <xdr:to>
      <xdr:col>44</xdr:col>
      <xdr:colOff>490571</xdr:colOff>
      <xdr:row>156</xdr:row>
      <xdr:rowOff>76201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9083C9ED-2141-4D77-9B8C-47B2E82B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6821745" y="28464511"/>
          <a:ext cx="3384266" cy="2830830"/>
        </a:xfrm>
        <a:prstGeom prst="rect">
          <a:avLst/>
        </a:prstGeom>
      </xdr:spPr>
    </xdr:pic>
    <xdr:clientData/>
  </xdr:twoCellAnchor>
  <xdr:twoCellAnchor editAs="oneCell">
    <xdr:from>
      <xdr:col>45</xdr:col>
      <xdr:colOff>276225</xdr:colOff>
      <xdr:row>142</xdr:row>
      <xdr:rowOff>38100</xdr:rowOff>
    </xdr:from>
    <xdr:to>
      <xdr:col>48</xdr:col>
      <xdr:colOff>428625</xdr:colOff>
      <xdr:row>156</xdr:row>
      <xdr:rowOff>107279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DD2D149E-6E97-44CA-B091-1CCC671D7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0715565" y="28483560"/>
          <a:ext cx="3398520" cy="2842859"/>
        </a:xfrm>
        <a:prstGeom prst="rect">
          <a:avLst/>
        </a:prstGeom>
      </xdr:spPr>
    </xdr:pic>
    <xdr:clientData/>
  </xdr:twoCellAnchor>
  <xdr:twoCellAnchor editAs="oneCell">
    <xdr:from>
      <xdr:col>49</xdr:col>
      <xdr:colOff>304800</xdr:colOff>
      <xdr:row>142</xdr:row>
      <xdr:rowOff>38100</xdr:rowOff>
    </xdr:from>
    <xdr:to>
      <xdr:col>52</xdr:col>
      <xdr:colOff>628650</xdr:colOff>
      <xdr:row>156</xdr:row>
      <xdr:rowOff>179620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3416341-053F-4B9E-AFD2-A6671114A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4698920" y="28483560"/>
          <a:ext cx="3478530" cy="2915200"/>
        </a:xfrm>
        <a:prstGeom prst="rect">
          <a:avLst/>
        </a:prstGeom>
      </xdr:spPr>
    </xdr:pic>
    <xdr:clientData/>
  </xdr:twoCellAnchor>
  <xdr:twoCellAnchor editAs="oneCell">
    <xdr:from>
      <xdr:col>53</xdr:col>
      <xdr:colOff>266700</xdr:colOff>
      <xdr:row>142</xdr:row>
      <xdr:rowOff>76200</xdr:rowOff>
    </xdr:from>
    <xdr:to>
      <xdr:col>56</xdr:col>
      <xdr:colOff>276225</xdr:colOff>
      <xdr:row>156</xdr:row>
      <xdr:rowOff>145379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2EC777CB-E548-43C1-B823-82DF98D92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8524160" y="28521660"/>
          <a:ext cx="3385185" cy="2842859"/>
        </a:xfrm>
        <a:prstGeom prst="rect">
          <a:avLst/>
        </a:prstGeom>
      </xdr:spPr>
    </xdr:pic>
    <xdr:clientData/>
  </xdr:twoCellAnchor>
  <xdr:twoCellAnchor editAs="oneCell">
    <xdr:from>
      <xdr:col>57</xdr:col>
      <xdr:colOff>276225</xdr:colOff>
      <xdr:row>142</xdr:row>
      <xdr:rowOff>38101</xdr:rowOff>
    </xdr:from>
    <xdr:to>
      <xdr:col>60</xdr:col>
      <xdr:colOff>473997</xdr:colOff>
      <xdr:row>156</xdr:row>
      <xdr:rowOff>57151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202359F5-3E00-4A1B-A971-FE60A3E1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2976145" y="28483561"/>
          <a:ext cx="3352452" cy="2792730"/>
        </a:xfrm>
        <a:prstGeom prst="rect">
          <a:avLst/>
        </a:prstGeom>
      </xdr:spPr>
    </xdr:pic>
    <xdr:clientData/>
  </xdr:twoCellAnchor>
  <xdr:twoCellAnchor editAs="oneCell">
    <xdr:from>
      <xdr:col>61</xdr:col>
      <xdr:colOff>285750</xdr:colOff>
      <xdr:row>142</xdr:row>
      <xdr:rowOff>47625</xdr:rowOff>
    </xdr:from>
    <xdr:to>
      <xdr:col>64</xdr:col>
      <xdr:colOff>504825</xdr:colOff>
      <xdr:row>156</xdr:row>
      <xdr:rowOff>92690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7D972CC9-2265-4EF0-9CCC-44EBD452E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6955690" y="28493085"/>
          <a:ext cx="3381375" cy="2818745"/>
        </a:xfrm>
        <a:prstGeom prst="rect">
          <a:avLst/>
        </a:prstGeom>
      </xdr:spPr>
    </xdr:pic>
    <xdr:clientData/>
  </xdr:twoCellAnchor>
  <xdr:twoCellAnchor editAs="oneCell">
    <xdr:from>
      <xdr:col>65</xdr:col>
      <xdr:colOff>323850</xdr:colOff>
      <xdr:row>142</xdr:row>
      <xdr:rowOff>9526</xdr:rowOff>
    </xdr:from>
    <xdr:to>
      <xdr:col>68</xdr:col>
      <xdr:colOff>497620</xdr:colOff>
      <xdr:row>156</xdr:row>
      <xdr:rowOff>104776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30288AFB-3742-42E2-BA13-CB61A26F4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1001910" y="28454986"/>
          <a:ext cx="3450370" cy="2868930"/>
        </a:xfrm>
        <a:prstGeom prst="rect">
          <a:avLst/>
        </a:prstGeom>
      </xdr:spPr>
    </xdr:pic>
    <xdr:clientData/>
  </xdr:twoCellAnchor>
  <xdr:twoCellAnchor editAs="oneCell">
    <xdr:from>
      <xdr:col>69</xdr:col>
      <xdr:colOff>419100</xdr:colOff>
      <xdr:row>142</xdr:row>
      <xdr:rowOff>66675</xdr:rowOff>
    </xdr:from>
    <xdr:to>
      <xdr:col>72</xdr:col>
      <xdr:colOff>430610</xdr:colOff>
      <xdr:row>156</xdr:row>
      <xdr:rowOff>57150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5E3DD33D-FD72-44D4-B827-2FB8A773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5455800" y="28512135"/>
          <a:ext cx="3310970" cy="2764155"/>
        </a:xfrm>
        <a:prstGeom prst="rect">
          <a:avLst/>
        </a:prstGeom>
      </xdr:spPr>
    </xdr:pic>
    <xdr:clientData/>
  </xdr:twoCellAnchor>
  <xdr:twoCellAnchor editAs="oneCell">
    <xdr:from>
      <xdr:col>73</xdr:col>
      <xdr:colOff>381000</xdr:colOff>
      <xdr:row>142</xdr:row>
      <xdr:rowOff>76201</xdr:rowOff>
    </xdr:from>
    <xdr:to>
      <xdr:col>76</xdr:col>
      <xdr:colOff>571723</xdr:colOff>
      <xdr:row>156</xdr:row>
      <xdr:rowOff>57151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5580AB0F-0F57-4B36-B6CD-26922632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9608700" y="28521661"/>
          <a:ext cx="3307303" cy="2754630"/>
        </a:xfrm>
        <a:prstGeom prst="rect">
          <a:avLst/>
        </a:prstGeom>
      </xdr:spPr>
    </xdr:pic>
    <xdr:clientData/>
  </xdr:twoCellAnchor>
  <xdr:twoCellAnchor editAs="oneCell">
    <xdr:from>
      <xdr:col>77</xdr:col>
      <xdr:colOff>542925</xdr:colOff>
      <xdr:row>142</xdr:row>
      <xdr:rowOff>28575</xdr:rowOff>
    </xdr:from>
    <xdr:to>
      <xdr:col>80</xdr:col>
      <xdr:colOff>691644</xdr:colOff>
      <xdr:row>156</xdr:row>
      <xdr:rowOff>142875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680DAA68-BBE0-49A4-B305-7586E6411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3717785" y="28474035"/>
          <a:ext cx="3463419" cy="2887980"/>
        </a:xfrm>
        <a:prstGeom prst="rect">
          <a:avLst/>
        </a:prstGeom>
      </xdr:spPr>
    </xdr:pic>
    <xdr:clientData/>
  </xdr:twoCellAnchor>
  <xdr:twoCellAnchor editAs="oneCell">
    <xdr:from>
      <xdr:col>81</xdr:col>
      <xdr:colOff>647700</xdr:colOff>
      <xdr:row>142</xdr:row>
      <xdr:rowOff>66677</xdr:rowOff>
    </xdr:from>
    <xdr:to>
      <xdr:col>84</xdr:col>
      <xdr:colOff>411559</xdr:colOff>
      <xdr:row>156</xdr:row>
      <xdr:rowOff>57151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C1C3494A-443C-4CAA-849B-8ADD531B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7929740" y="28512137"/>
          <a:ext cx="3314779" cy="2764154"/>
        </a:xfrm>
        <a:prstGeom prst="rect">
          <a:avLst/>
        </a:prstGeom>
      </xdr:spPr>
    </xdr:pic>
    <xdr:clientData/>
  </xdr:twoCellAnchor>
  <xdr:twoCellAnchor editAs="oneCell">
    <xdr:from>
      <xdr:col>85</xdr:col>
      <xdr:colOff>352425</xdr:colOff>
      <xdr:row>142</xdr:row>
      <xdr:rowOff>76200</xdr:rowOff>
    </xdr:from>
    <xdr:to>
      <xdr:col>88</xdr:col>
      <xdr:colOff>495858</xdr:colOff>
      <xdr:row>156</xdr:row>
      <xdr:rowOff>161925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1454AE11-937C-4138-A7B5-5AED40D45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2023585" y="28521660"/>
          <a:ext cx="3420033" cy="2859405"/>
        </a:xfrm>
        <a:prstGeom prst="rect">
          <a:avLst/>
        </a:prstGeom>
      </xdr:spPr>
    </xdr:pic>
    <xdr:clientData/>
  </xdr:twoCellAnchor>
  <xdr:twoCellAnchor editAs="oneCell">
    <xdr:from>
      <xdr:col>89</xdr:col>
      <xdr:colOff>466725</xdr:colOff>
      <xdr:row>142</xdr:row>
      <xdr:rowOff>76200</xdr:rowOff>
    </xdr:from>
    <xdr:to>
      <xdr:col>92</xdr:col>
      <xdr:colOff>593963</xdr:colOff>
      <xdr:row>156</xdr:row>
      <xdr:rowOff>132183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540E9C1B-E1AA-4082-89F6-CBFC8871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6245065" y="28521660"/>
          <a:ext cx="3380978" cy="2829663"/>
        </a:xfrm>
        <a:prstGeom prst="rect">
          <a:avLst/>
        </a:prstGeom>
      </xdr:spPr>
    </xdr:pic>
    <xdr:clientData/>
  </xdr:twoCellAnchor>
  <xdr:twoCellAnchor editAs="oneCell">
    <xdr:from>
      <xdr:col>93</xdr:col>
      <xdr:colOff>533400</xdr:colOff>
      <xdr:row>142</xdr:row>
      <xdr:rowOff>76201</xdr:rowOff>
    </xdr:from>
    <xdr:to>
      <xdr:col>96</xdr:col>
      <xdr:colOff>736600</xdr:colOff>
      <xdr:row>156</xdr:row>
      <xdr:rowOff>48925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41674BEB-2D8B-472B-A7F5-9F19377F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90624660" y="28521661"/>
          <a:ext cx="3266440" cy="2746404"/>
        </a:xfrm>
        <a:prstGeom prst="rect">
          <a:avLst/>
        </a:prstGeom>
      </xdr:spPr>
    </xdr:pic>
    <xdr:clientData/>
  </xdr:twoCellAnchor>
  <xdr:twoCellAnchor editAs="oneCell">
    <xdr:from>
      <xdr:col>97</xdr:col>
      <xdr:colOff>600075</xdr:colOff>
      <xdr:row>142</xdr:row>
      <xdr:rowOff>57151</xdr:rowOff>
    </xdr:from>
    <xdr:to>
      <xdr:col>100</xdr:col>
      <xdr:colOff>689546</xdr:colOff>
      <xdr:row>156</xdr:row>
      <xdr:rowOff>57150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590CAF6-3841-4CC7-AD30-FC2195E92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94729935" y="28502611"/>
          <a:ext cx="3327971" cy="2773679"/>
        </a:xfrm>
        <a:prstGeom prst="rect">
          <a:avLst/>
        </a:prstGeom>
      </xdr:spPr>
    </xdr:pic>
    <xdr:clientData/>
  </xdr:twoCellAnchor>
  <xdr:twoCellAnchor editAs="oneCell">
    <xdr:from>
      <xdr:col>101</xdr:col>
      <xdr:colOff>266699</xdr:colOff>
      <xdr:row>142</xdr:row>
      <xdr:rowOff>47626</xdr:rowOff>
    </xdr:from>
    <xdr:to>
      <xdr:col>104</xdr:col>
      <xdr:colOff>523874</xdr:colOff>
      <xdr:row>156</xdr:row>
      <xdr:rowOff>181108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4E686349-F47B-4E3C-88A4-E87F99BDD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98572319" y="28493086"/>
          <a:ext cx="3472815" cy="2907162"/>
        </a:xfrm>
        <a:prstGeom prst="rect">
          <a:avLst/>
        </a:prstGeom>
      </xdr:spPr>
    </xdr:pic>
    <xdr:clientData/>
  </xdr:twoCellAnchor>
  <xdr:twoCellAnchor editAs="oneCell">
    <xdr:from>
      <xdr:col>105</xdr:col>
      <xdr:colOff>257175</xdr:colOff>
      <xdr:row>142</xdr:row>
      <xdr:rowOff>19051</xdr:rowOff>
    </xdr:from>
    <xdr:to>
      <xdr:col>108</xdr:col>
      <xdr:colOff>774700</xdr:colOff>
      <xdr:row>156</xdr:row>
      <xdr:rowOff>104305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67D3B8B6-FD07-40F9-B354-2D6F51C0D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2868095" y="28464511"/>
          <a:ext cx="3451225" cy="2858934"/>
        </a:xfrm>
        <a:prstGeom prst="rect">
          <a:avLst/>
        </a:prstGeom>
      </xdr:spPr>
    </xdr:pic>
    <xdr:clientData/>
  </xdr:twoCellAnchor>
  <xdr:twoCellAnchor editAs="oneCell">
    <xdr:from>
      <xdr:col>109</xdr:col>
      <xdr:colOff>542925</xdr:colOff>
      <xdr:row>142</xdr:row>
      <xdr:rowOff>28576</xdr:rowOff>
    </xdr:from>
    <xdr:to>
      <xdr:col>112</xdr:col>
      <xdr:colOff>245776</xdr:colOff>
      <xdr:row>155</xdr:row>
      <xdr:rowOff>95251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B966C5B5-34F2-426B-AFFB-2DF9A59D3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7070525" y="28474036"/>
          <a:ext cx="3177571" cy="2642235"/>
        </a:xfrm>
        <a:prstGeom prst="rect">
          <a:avLst/>
        </a:prstGeom>
      </xdr:spPr>
    </xdr:pic>
    <xdr:clientData/>
  </xdr:twoCellAnchor>
  <xdr:twoCellAnchor editAs="oneCell">
    <xdr:from>
      <xdr:col>113</xdr:col>
      <xdr:colOff>523875</xdr:colOff>
      <xdr:row>142</xdr:row>
      <xdr:rowOff>28575</xdr:rowOff>
    </xdr:from>
    <xdr:to>
      <xdr:col>116</xdr:col>
      <xdr:colOff>495300</xdr:colOff>
      <xdr:row>155</xdr:row>
      <xdr:rowOff>112907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94968AED-13A4-49B5-B7CE-5C2A7ACE4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1440595" y="28474035"/>
          <a:ext cx="3179445" cy="2659892"/>
        </a:xfrm>
        <a:prstGeom prst="rect">
          <a:avLst/>
        </a:prstGeom>
      </xdr:spPr>
    </xdr:pic>
    <xdr:clientData/>
  </xdr:twoCellAnchor>
  <xdr:twoCellAnchor editAs="oneCell">
    <xdr:from>
      <xdr:col>117</xdr:col>
      <xdr:colOff>638175</xdr:colOff>
      <xdr:row>142</xdr:row>
      <xdr:rowOff>28576</xdr:rowOff>
    </xdr:from>
    <xdr:to>
      <xdr:col>120</xdr:col>
      <xdr:colOff>795749</xdr:colOff>
      <xdr:row>155</xdr:row>
      <xdr:rowOff>133350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21ED389B-A1CB-4E06-B9B7-3804E2310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5684935" y="28474036"/>
          <a:ext cx="3213194" cy="2680334"/>
        </a:xfrm>
        <a:prstGeom prst="rect">
          <a:avLst/>
        </a:prstGeom>
      </xdr:spPr>
    </xdr:pic>
    <xdr:clientData/>
  </xdr:twoCellAnchor>
  <xdr:twoCellAnchor editAs="oneCell">
    <xdr:from>
      <xdr:col>121</xdr:col>
      <xdr:colOff>495300</xdr:colOff>
      <xdr:row>142</xdr:row>
      <xdr:rowOff>38101</xdr:rowOff>
    </xdr:from>
    <xdr:to>
      <xdr:col>124</xdr:col>
      <xdr:colOff>392176</xdr:colOff>
      <xdr:row>155</xdr:row>
      <xdr:rowOff>123826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06DA8E3-15BE-4093-AF15-CED96E74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9740680" y="28483561"/>
          <a:ext cx="3181096" cy="2661285"/>
        </a:xfrm>
        <a:prstGeom prst="rect">
          <a:avLst/>
        </a:prstGeom>
      </xdr:spPr>
    </xdr:pic>
    <xdr:clientData/>
  </xdr:twoCellAnchor>
  <xdr:twoCellAnchor editAs="oneCell">
    <xdr:from>
      <xdr:col>125</xdr:col>
      <xdr:colOff>400051</xdr:colOff>
      <xdr:row>142</xdr:row>
      <xdr:rowOff>47626</xdr:rowOff>
    </xdr:from>
    <xdr:to>
      <xdr:col>128</xdr:col>
      <xdr:colOff>409576</xdr:colOff>
      <xdr:row>155</xdr:row>
      <xdr:rowOff>131958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2E7AD15A-520B-4443-830F-2B1CE1F0F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3950731" y="28493086"/>
          <a:ext cx="3194685" cy="2659892"/>
        </a:xfrm>
        <a:prstGeom prst="rect">
          <a:avLst/>
        </a:prstGeom>
      </xdr:spPr>
    </xdr:pic>
    <xdr:clientData/>
  </xdr:twoCellAnchor>
  <xdr:twoCellAnchor editAs="oneCell">
    <xdr:from>
      <xdr:col>129</xdr:col>
      <xdr:colOff>495300</xdr:colOff>
      <xdr:row>142</xdr:row>
      <xdr:rowOff>66676</xdr:rowOff>
    </xdr:from>
    <xdr:to>
      <xdr:col>132</xdr:col>
      <xdr:colOff>495300</xdr:colOff>
      <xdr:row>155</xdr:row>
      <xdr:rowOff>110819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DF6219FE-8EC6-49D7-8BF7-72F221BDB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8236980" y="28512136"/>
          <a:ext cx="3124200" cy="2619703"/>
        </a:xfrm>
        <a:prstGeom prst="rect">
          <a:avLst/>
        </a:prstGeom>
      </xdr:spPr>
    </xdr:pic>
    <xdr:clientData/>
  </xdr:twoCellAnchor>
  <xdr:twoCellAnchor editAs="oneCell">
    <xdr:from>
      <xdr:col>133</xdr:col>
      <xdr:colOff>552450</xdr:colOff>
      <xdr:row>142</xdr:row>
      <xdr:rowOff>28576</xdr:rowOff>
    </xdr:from>
    <xdr:to>
      <xdr:col>136</xdr:col>
      <xdr:colOff>368886</xdr:colOff>
      <xdr:row>155</xdr:row>
      <xdr:rowOff>142875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69D446A-8940-446E-B99F-F555141C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32454650" y="28474036"/>
          <a:ext cx="3222576" cy="2689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9E18-6FE2-485A-AD52-E040AFB59CD5}">
  <sheetPr>
    <pageSetUpPr fitToPage="1"/>
  </sheetPr>
  <dimension ref="A1:EG180"/>
  <sheetViews>
    <sheetView tabSelected="1" topLeftCell="O1" zoomScale="56" zoomScaleNormal="80" workbookViewId="0">
      <selection activeCell="X1" sqref="X1:AC1"/>
    </sheetView>
  </sheetViews>
  <sheetFormatPr defaultRowHeight="14.4" x14ac:dyDescent="0.3"/>
  <cols>
    <col min="2" max="2" width="11" customWidth="1"/>
    <col min="3" max="3" width="11.5546875" customWidth="1"/>
    <col min="5" max="5" width="20" customWidth="1"/>
    <col min="6" max="7" width="17.109375" customWidth="1"/>
    <col min="8" max="9" width="10.33203125" customWidth="1"/>
    <col min="10" max="10" width="12" customWidth="1"/>
    <col min="12" max="12" width="17.33203125" customWidth="1"/>
    <col min="14" max="14" width="19.88671875" customWidth="1"/>
    <col min="15" max="15" width="16.6640625" customWidth="1"/>
    <col min="16" max="16" width="17.109375" customWidth="1"/>
    <col min="17" max="18" width="10.6640625" customWidth="1"/>
    <col min="19" max="19" width="11.5546875" customWidth="1"/>
    <col min="23" max="23" width="20.5546875" customWidth="1"/>
    <col min="24" max="24" width="16.33203125" customWidth="1"/>
    <col min="25" max="25" width="17.109375" customWidth="1"/>
    <col min="28" max="28" width="16.44140625" customWidth="1"/>
    <col min="30" max="30" width="18.33203125" customWidth="1"/>
    <col min="31" max="31" width="13.6640625" customWidth="1"/>
    <col min="32" max="32" width="14.33203125" customWidth="1"/>
    <col min="34" max="34" width="18" customWidth="1"/>
    <col min="35" max="35" width="12.109375" customWidth="1"/>
    <col min="36" max="36" width="14.6640625" customWidth="1"/>
    <col min="38" max="38" width="18.6640625" customWidth="1"/>
    <col min="39" max="39" width="13.6640625" customWidth="1"/>
    <col min="40" max="40" width="11" customWidth="1"/>
    <col min="41" max="41" width="9.6640625" customWidth="1"/>
    <col min="42" max="42" width="20.44140625" customWidth="1"/>
    <col min="43" max="43" width="13.44140625" customWidth="1"/>
    <col min="44" max="44" width="10.6640625" customWidth="1"/>
    <col min="45" max="45" width="10.5546875" customWidth="1"/>
    <col min="46" max="46" width="22.88671875" customWidth="1"/>
    <col min="47" max="47" width="13.44140625" customWidth="1"/>
    <col min="48" max="48" width="11" customWidth="1"/>
    <col min="49" max="49" width="10.33203125" customWidth="1"/>
    <col min="50" max="50" width="22.44140625" customWidth="1"/>
    <col min="51" max="51" width="12.6640625" customWidth="1"/>
    <col min="52" max="52" width="10.88671875" customWidth="1"/>
    <col min="53" max="53" width="10.33203125" customWidth="1"/>
    <col min="54" max="54" width="20.6640625" customWidth="1"/>
    <col min="55" max="55" width="16.109375" customWidth="1"/>
    <col min="56" max="56" width="12.44140625" customWidth="1"/>
    <col min="57" max="57" width="15.5546875" customWidth="1"/>
    <col min="58" max="58" width="22.5546875" customWidth="1"/>
    <col min="59" max="59" width="12" customWidth="1"/>
    <col min="60" max="60" width="11.44140625" customWidth="1"/>
    <col min="61" max="61" width="11.88671875" customWidth="1"/>
    <col min="62" max="62" width="23.6640625" customWidth="1"/>
    <col min="63" max="63" width="12.33203125" customWidth="1"/>
    <col min="64" max="64" width="10.109375" customWidth="1"/>
    <col min="65" max="65" width="12.33203125" customWidth="1"/>
    <col min="66" max="66" width="24.33203125" customWidth="1"/>
    <col min="67" max="67" width="13.33203125" customWidth="1"/>
    <col min="68" max="68" width="10.109375" customWidth="1"/>
    <col min="69" max="69" width="15.77734375" customWidth="1"/>
    <col min="70" max="70" width="22.88671875" customWidth="1"/>
    <col min="71" max="71" width="16.33203125" customWidth="1"/>
    <col min="73" max="73" width="13" customWidth="1"/>
    <col min="74" max="74" width="22.5546875" customWidth="1"/>
    <col min="75" max="75" width="12.33203125" customWidth="1"/>
    <col min="76" max="76" width="10.5546875" customWidth="1"/>
    <col min="77" max="77" width="12.109375" customWidth="1"/>
    <col min="78" max="78" width="23.6640625" customWidth="1"/>
    <col min="79" max="79" width="13.33203125" customWidth="1"/>
    <col min="80" max="80" width="11.33203125" customWidth="1"/>
    <col min="81" max="81" width="11.5546875" customWidth="1"/>
    <col min="82" max="82" width="25.33203125" customWidth="1"/>
    <col min="83" max="83" width="14.88671875" customWidth="1"/>
    <col min="84" max="84" width="11.5546875" customWidth="1"/>
    <col min="85" max="85" width="12.21875" customWidth="1"/>
    <col min="86" max="86" width="21.44140625" customWidth="1"/>
    <col min="87" max="87" width="12.88671875" customWidth="1"/>
    <col min="88" max="88" width="13.44140625" customWidth="1"/>
    <col min="89" max="89" width="12.109375" customWidth="1"/>
    <col min="90" max="90" width="22.33203125" customWidth="1"/>
    <col min="91" max="91" width="13" customWidth="1"/>
    <col min="92" max="92" width="12.109375" customWidth="1"/>
    <col min="93" max="93" width="15.44140625" customWidth="1"/>
    <col min="94" max="94" width="20.5546875" customWidth="1"/>
    <col min="95" max="95" width="13.44140625" customWidth="1"/>
    <col min="96" max="96" width="10.6640625" customWidth="1"/>
    <col min="97" max="97" width="14.21875" customWidth="1"/>
    <col min="98" max="98" width="22.5546875" customWidth="1"/>
    <col min="99" max="100" width="12.33203125" customWidth="1"/>
    <col min="101" max="101" width="13.6640625" customWidth="1"/>
    <col min="102" max="102" width="21.33203125" customWidth="1"/>
    <col min="103" max="103" width="14.109375" customWidth="1"/>
    <col min="104" max="104" width="11.44140625" customWidth="1"/>
    <col min="105" max="105" width="15.88671875" customWidth="1"/>
    <col min="106" max="106" width="18.33203125" customWidth="1"/>
    <col min="107" max="107" width="13.33203125" customWidth="1"/>
    <col min="108" max="108" width="11.109375" customWidth="1"/>
    <col min="109" max="109" width="14.33203125" customWidth="1"/>
    <col min="110" max="110" width="21" customWidth="1"/>
    <col min="111" max="111" width="17.33203125" customWidth="1"/>
    <col min="112" max="112" width="12.33203125" customWidth="1"/>
    <col min="113" max="113" width="13.33203125" customWidth="1"/>
    <col min="114" max="114" width="23.44140625" customWidth="1"/>
    <col min="115" max="115" width="13" customWidth="1"/>
    <col min="116" max="116" width="10.33203125" customWidth="1"/>
    <col min="117" max="117" width="13.44140625" customWidth="1"/>
    <col min="118" max="118" width="18.33203125" customWidth="1"/>
    <col min="119" max="119" width="14.6640625" customWidth="1"/>
    <col min="120" max="120" width="11.5546875" customWidth="1"/>
    <col min="121" max="121" width="16.6640625" customWidth="1"/>
    <col min="122" max="122" width="19.5546875" customWidth="1"/>
    <col min="123" max="123" width="14.6640625" customWidth="1"/>
    <col min="124" max="124" width="13.6640625" customWidth="1"/>
    <col min="125" max="125" width="14.88671875" customWidth="1"/>
    <col min="126" max="126" width="20.44140625" customWidth="1"/>
    <col min="127" max="127" width="13.6640625" customWidth="1"/>
    <col min="128" max="128" width="12.33203125" customWidth="1"/>
    <col min="129" max="129" width="14.6640625" customWidth="1"/>
    <col min="130" max="130" width="19" customWidth="1"/>
    <col min="131" max="131" width="14.88671875" customWidth="1"/>
    <col min="132" max="132" width="11.6640625" customWidth="1"/>
    <col min="133" max="133" width="15.109375" customWidth="1"/>
    <col min="134" max="134" width="19.33203125" customWidth="1"/>
    <col min="135" max="135" width="16.33203125" customWidth="1"/>
    <col min="136" max="136" width="14" customWidth="1"/>
    <col min="137" max="137" width="11.88671875" customWidth="1"/>
  </cols>
  <sheetData>
    <row r="1" spans="1:137" ht="15" customHeight="1" thickBot="1" x14ac:dyDescent="0.35">
      <c r="A1" s="1" t="s">
        <v>0</v>
      </c>
      <c r="B1" s="2"/>
      <c r="C1" s="1" t="s">
        <v>1</v>
      </c>
      <c r="D1" s="3"/>
      <c r="E1" s="3"/>
      <c r="F1" s="3"/>
      <c r="G1" s="3"/>
      <c r="H1" s="3"/>
      <c r="I1" s="3"/>
      <c r="J1" s="3" t="s">
        <v>2</v>
      </c>
      <c r="K1" s="3"/>
      <c r="L1" s="3"/>
      <c r="M1" s="3"/>
      <c r="N1" s="3"/>
      <c r="O1" s="3"/>
      <c r="P1" s="3"/>
      <c r="Q1" s="3" t="s">
        <v>3</v>
      </c>
      <c r="R1" s="3"/>
      <c r="S1" s="3"/>
      <c r="T1" s="3"/>
      <c r="U1" s="3"/>
      <c r="V1" s="3"/>
      <c r="W1" s="3"/>
      <c r="X1" s="4"/>
      <c r="Y1" s="4"/>
      <c r="Z1" s="4"/>
      <c r="AA1" s="4"/>
      <c r="AB1" s="4"/>
      <c r="AC1" s="5"/>
      <c r="AD1" s="6" t="s">
        <v>4</v>
      </c>
      <c r="AE1" s="7"/>
      <c r="AF1" s="7"/>
      <c r="AG1" s="7"/>
      <c r="AH1" s="6" t="s">
        <v>5</v>
      </c>
      <c r="AI1" s="7"/>
      <c r="AJ1" s="7"/>
      <c r="AK1" s="7"/>
      <c r="AL1" s="6" t="s">
        <v>6</v>
      </c>
      <c r="AM1" s="7"/>
      <c r="AN1" s="7"/>
      <c r="AO1" s="7"/>
      <c r="AP1" s="6" t="s">
        <v>7</v>
      </c>
      <c r="AQ1" s="7"/>
      <c r="AR1" s="7"/>
      <c r="AS1" s="7"/>
      <c r="AT1" s="6" t="s">
        <v>8</v>
      </c>
      <c r="AU1" s="7"/>
      <c r="AV1" s="7"/>
      <c r="AW1" s="7"/>
      <c r="AX1" s="6" t="s">
        <v>9</v>
      </c>
      <c r="AY1" s="7"/>
      <c r="AZ1" s="7"/>
      <c r="BA1" s="7"/>
      <c r="BB1" s="8" t="s">
        <v>10</v>
      </c>
      <c r="BC1" s="8"/>
      <c r="BD1" s="8"/>
      <c r="BE1" s="8"/>
      <c r="BF1" s="7" t="s">
        <v>11</v>
      </c>
      <c r="BG1" s="7"/>
      <c r="BH1" s="7"/>
      <c r="BI1" s="7"/>
      <c r="BJ1" s="6" t="s">
        <v>12</v>
      </c>
      <c r="BK1" s="7"/>
      <c r="BL1" s="7"/>
      <c r="BM1" s="7"/>
      <c r="BN1" s="8" t="s">
        <v>13</v>
      </c>
      <c r="BO1" s="8"/>
      <c r="BP1" s="8"/>
      <c r="BQ1" s="8"/>
      <c r="BR1" s="8" t="s">
        <v>14</v>
      </c>
      <c r="BS1" s="8"/>
      <c r="BT1" s="8"/>
      <c r="BU1" s="8"/>
      <c r="BV1" s="8" t="s">
        <v>15</v>
      </c>
      <c r="BW1" s="8"/>
      <c r="BX1" s="8"/>
      <c r="BY1" s="8"/>
      <c r="BZ1" s="8" t="s">
        <v>16</v>
      </c>
      <c r="CA1" s="8"/>
      <c r="CB1" s="8"/>
      <c r="CC1" s="8"/>
      <c r="CD1" s="8" t="s">
        <v>17</v>
      </c>
      <c r="CE1" s="8"/>
      <c r="CF1" s="8"/>
      <c r="CG1" s="8"/>
      <c r="CH1" s="8" t="s">
        <v>18</v>
      </c>
      <c r="CI1" s="8"/>
      <c r="CJ1" s="8"/>
      <c r="CK1" s="8"/>
      <c r="CL1" s="8" t="s">
        <v>19</v>
      </c>
      <c r="CM1" s="8"/>
      <c r="CN1" s="8"/>
      <c r="CO1" s="8"/>
      <c r="CP1" s="8" t="s">
        <v>20</v>
      </c>
      <c r="CQ1" s="8"/>
      <c r="CR1" s="8"/>
      <c r="CS1" s="8"/>
      <c r="CT1" s="8" t="s">
        <v>21</v>
      </c>
      <c r="CU1" s="8"/>
      <c r="CV1" s="8"/>
      <c r="CW1" s="8"/>
      <c r="CX1" s="8" t="s">
        <v>22</v>
      </c>
      <c r="CY1" s="8"/>
      <c r="CZ1" s="8"/>
      <c r="DA1" s="8"/>
      <c r="DB1" s="8" t="s">
        <v>23</v>
      </c>
      <c r="DC1" s="8"/>
      <c r="DD1" s="8"/>
      <c r="DE1" s="8"/>
      <c r="DF1" s="8" t="s">
        <v>24</v>
      </c>
      <c r="DG1" s="8"/>
      <c r="DH1" s="8"/>
      <c r="DI1" s="8"/>
      <c r="DJ1" s="8" t="s">
        <v>25</v>
      </c>
      <c r="DK1" s="8"/>
      <c r="DL1" s="8"/>
      <c r="DM1" s="8"/>
      <c r="DN1" s="8" t="s">
        <v>26</v>
      </c>
      <c r="DO1" s="8"/>
      <c r="DP1" s="8"/>
      <c r="DQ1" s="8"/>
      <c r="DR1" s="8" t="s">
        <v>27</v>
      </c>
      <c r="DS1" s="8"/>
      <c r="DT1" s="8"/>
      <c r="DU1" s="8"/>
      <c r="DV1" s="8" t="s">
        <v>28</v>
      </c>
      <c r="DW1" s="8"/>
      <c r="DX1" s="8"/>
      <c r="DY1" s="8"/>
      <c r="DZ1" s="8" t="s">
        <v>29</v>
      </c>
      <c r="EA1" s="8"/>
      <c r="EB1" s="8"/>
      <c r="EC1" s="8"/>
      <c r="ED1" s="8" t="s">
        <v>30</v>
      </c>
      <c r="EE1" s="8"/>
      <c r="EF1" s="8"/>
      <c r="EG1" s="8"/>
    </row>
    <row r="2" spans="1:137" ht="22.2" thickBot="1" x14ac:dyDescent="0.35">
      <c r="A2" s="9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1" t="s">
        <v>36</v>
      </c>
      <c r="G2" s="11" t="s">
        <v>37</v>
      </c>
      <c r="H2" s="10" t="s">
        <v>38</v>
      </c>
      <c r="I2" s="10" t="s">
        <v>39</v>
      </c>
      <c r="J2" s="10" t="s">
        <v>33</v>
      </c>
      <c r="K2" s="10" t="s">
        <v>34</v>
      </c>
      <c r="L2" s="10" t="s">
        <v>35</v>
      </c>
      <c r="M2" s="11" t="s">
        <v>36</v>
      </c>
      <c r="N2" s="11" t="s">
        <v>37</v>
      </c>
      <c r="O2" s="10" t="s">
        <v>38</v>
      </c>
      <c r="P2" s="10" t="s">
        <v>39</v>
      </c>
      <c r="Q2" s="10" t="s">
        <v>33</v>
      </c>
      <c r="R2" s="10" t="s">
        <v>34</v>
      </c>
      <c r="S2" s="10" t="s">
        <v>35</v>
      </c>
      <c r="T2" s="11" t="s">
        <v>36</v>
      </c>
      <c r="U2" s="11" t="s">
        <v>37</v>
      </c>
      <c r="V2" s="10" t="s">
        <v>38</v>
      </c>
      <c r="W2" s="12" t="s">
        <v>39</v>
      </c>
      <c r="X2" s="13" t="s">
        <v>40</v>
      </c>
      <c r="Y2" s="13" t="s">
        <v>41</v>
      </c>
      <c r="Z2" s="13" t="s">
        <v>42</v>
      </c>
      <c r="AA2" s="13" t="s">
        <v>43</v>
      </c>
      <c r="AB2" s="13" t="s">
        <v>40</v>
      </c>
      <c r="AC2" s="13" t="s">
        <v>41</v>
      </c>
      <c r="AD2" s="13" t="s">
        <v>42</v>
      </c>
      <c r="AE2" s="13" t="s">
        <v>43</v>
      </c>
      <c r="AF2" s="13" t="s">
        <v>40</v>
      </c>
      <c r="AG2" s="13" t="s">
        <v>41</v>
      </c>
      <c r="AH2" s="13" t="s">
        <v>42</v>
      </c>
      <c r="AI2" s="13" t="s">
        <v>43</v>
      </c>
      <c r="AJ2" s="13" t="s">
        <v>40</v>
      </c>
      <c r="AK2" s="13" t="s">
        <v>41</v>
      </c>
      <c r="AL2" s="13" t="s">
        <v>42</v>
      </c>
      <c r="AM2" s="13" t="s">
        <v>43</v>
      </c>
      <c r="AN2" s="13" t="s">
        <v>40</v>
      </c>
      <c r="AO2" s="13" t="s">
        <v>41</v>
      </c>
      <c r="AP2" s="13" t="s">
        <v>42</v>
      </c>
      <c r="AQ2" s="13" t="s">
        <v>43</v>
      </c>
      <c r="AR2" s="13" t="s">
        <v>40</v>
      </c>
      <c r="AS2" s="13" t="s">
        <v>41</v>
      </c>
      <c r="AT2" s="13" t="s">
        <v>42</v>
      </c>
      <c r="AU2" s="14" t="s">
        <v>43</v>
      </c>
      <c r="AV2" s="13" t="s">
        <v>40</v>
      </c>
      <c r="AW2" s="13" t="s">
        <v>41</v>
      </c>
      <c r="AX2" s="13" t="s">
        <v>42</v>
      </c>
      <c r="AY2" s="13" t="s">
        <v>43</v>
      </c>
      <c r="AZ2" s="13" t="s">
        <v>40</v>
      </c>
      <c r="BA2" s="13" t="s">
        <v>41</v>
      </c>
      <c r="BB2" s="13" t="s">
        <v>42</v>
      </c>
      <c r="BC2" s="13" t="s">
        <v>43</v>
      </c>
      <c r="BD2" s="13" t="s">
        <v>40</v>
      </c>
      <c r="BE2" s="13" t="s">
        <v>41</v>
      </c>
      <c r="BF2" s="13" t="s">
        <v>42</v>
      </c>
      <c r="BG2" s="13" t="s">
        <v>43</v>
      </c>
      <c r="BH2" s="13" t="s">
        <v>40</v>
      </c>
      <c r="BI2" s="15" t="s">
        <v>41</v>
      </c>
      <c r="BJ2" s="15" t="s">
        <v>42</v>
      </c>
      <c r="BK2" s="15" t="s">
        <v>43</v>
      </c>
      <c r="BL2" s="15" t="s">
        <v>40</v>
      </c>
      <c r="BM2" s="15" t="s">
        <v>41</v>
      </c>
      <c r="BN2" s="15" t="s">
        <v>42</v>
      </c>
      <c r="BO2" s="15" t="s">
        <v>43</v>
      </c>
      <c r="BP2" s="15" t="s">
        <v>40</v>
      </c>
      <c r="BQ2" s="15" t="s">
        <v>41</v>
      </c>
      <c r="BR2" s="15" t="s">
        <v>42</v>
      </c>
      <c r="BS2" s="15" t="s">
        <v>43</v>
      </c>
      <c r="BT2" s="15" t="s">
        <v>40</v>
      </c>
      <c r="BU2" s="15" t="s">
        <v>41</v>
      </c>
      <c r="BV2" s="15" t="s">
        <v>42</v>
      </c>
      <c r="BW2" s="15" t="s">
        <v>43</v>
      </c>
      <c r="BX2" s="15" t="s">
        <v>40</v>
      </c>
      <c r="BY2" s="15" t="s">
        <v>41</v>
      </c>
      <c r="BZ2" s="15" t="s">
        <v>42</v>
      </c>
      <c r="CA2" s="15" t="s">
        <v>43</v>
      </c>
      <c r="CB2" s="15" t="s">
        <v>40</v>
      </c>
      <c r="CC2" s="15" t="s">
        <v>41</v>
      </c>
      <c r="CD2" s="15" t="s">
        <v>42</v>
      </c>
      <c r="CE2" s="15" t="s">
        <v>43</v>
      </c>
      <c r="CF2" s="15" t="s">
        <v>40</v>
      </c>
      <c r="CG2" s="15" t="s">
        <v>41</v>
      </c>
      <c r="CH2" s="15" t="s">
        <v>42</v>
      </c>
      <c r="CI2" s="15" t="s">
        <v>43</v>
      </c>
      <c r="CJ2" s="15" t="s">
        <v>40</v>
      </c>
      <c r="CK2" s="15" t="s">
        <v>41</v>
      </c>
      <c r="CL2" s="15" t="s">
        <v>42</v>
      </c>
      <c r="CM2" s="15" t="s">
        <v>43</v>
      </c>
      <c r="CN2" s="15" t="s">
        <v>40</v>
      </c>
      <c r="CO2" s="15" t="s">
        <v>41</v>
      </c>
      <c r="CP2" s="15" t="s">
        <v>42</v>
      </c>
      <c r="CQ2" s="15" t="s">
        <v>43</v>
      </c>
      <c r="CR2" s="15" t="s">
        <v>40</v>
      </c>
      <c r="CS2" s="15" t="s">
        <v>41</v>
      </c>
      <c r="CT2" s="15" t="s">
        <v>42</v>
      </c>
      <c r="CU2" s="15" t="s">
        <v>43</v>
      </c>
      <c r="CV2" s="15" t="s">
        <v>40</v>
      </c>
      <c r="CW2" s="15" t="s">
        <v>41</v>
      </c>
      <c r="CX2" s="15" t="s">
        <v>42</v>
      </c>
      <c r="CY2" s="15" t="s">
        <v>43</v>
      </c>
      <c r="CZ2" s="15" t="s">
        <v>40</v>
      </c>
      <c r="DA2" s="15" t="s">
        <v>41</v>
      </c>
      <c r="DB2" s="15" t="s">
        <v>42</v>
      </c>
      <c r="DC2" s="15" t="s">
        <v>43</v>
      </c>
      <c r="DD2" s="15" t="s">
        <v>40</v>
      </c>
      <c r="DE2" s="15" t="s">
        <v>41</v>
      </c>
      <c r="DF2" s="15" t="s">
        <v>42</v>
      </c>
      <c r="DG2" s="15" t="s">
        <v>43</v>
      </c>
      <c r="DH2" s="15" t="s">
        <v>40</v>
      </c>
      <c r="DI2" s="15" t="s">
        <v>41</v>
      </c>
      <c r="DJ2" s="15" t="s">
        <v>42</v>
      </c>
      <c r="DK2" s="15" t="s">
        <v>43</v>
      </c>
      <c r="DL2" s="15" t="s">
        <v>40</v>
      </c>
      <c r="DM2" s="15" t="s">
        <v>41</v>
      </c>
      <c r="DN2" s="15" t="s">
        <v>42</v>
      </c>
      <c r="DO2" s="15" t="s">
        <v>43</v>
      </c>
      <c r="DP2" s="15" t="s">
        <v>40</v>
      </c>
      <c r="DQ2" s="15" t="s">
        <v>41</v>
      </c>
      <c r="DR2" s="15" t="s">
        <v>42</v>
      </c>
      <c r="DS2" s="15" t="s">
        <v>43</v>
      </c>
      <c r="DT2" s="15" t="s">
        <v>40</v>
      </c>
      <c r="DU2" s="15" t="s">
        <v>41</v>
      </c>
      <c r="DV2" s="15" t="s">
        <v>42</v>
      </c>
      <c r="DW2" s="15" t="s">
        <v>43</v>
      </c>
      <c r="DX2" s="15" t="s">
        <v>40</v>
      </c>
      <c r="DY2" s="15" t="s">
        <v>41</v>
      </c>
      <c r="DZ2" s="15" t="s">
        <v>42</v>
      </c>
      <c r="EA2" s="15" t="s">
        <v>43</v>
      </c>
    </row>
    <row r="3" spans="1:137" ht="15.6" thickTop="1" thickBot="1" x14ac:dyDescent="0.35">
      <c r="A3" s="16" t="s">
        <v>44</v>
      </c>
      <c r="B3" s="17">
        <v>2016</v>
      </c>
      <c r="C3" s="17">
        <v>3187906</v>
      </c>
      <c r="D3" s="17">
        <v>119</v>
      </c>
      <c r="E3" s="18">
        <f>(D3/C3)*100000</f>
        <v>3.7328578697113399</v>
      </c>
      <c r="F3" s="19">
        <f>LN(E3)</f>
        <v>1.3171741251951139</v>
      </c>
      <c r="G3" s="20" t="s">
        <v>45</v>
      </c>
      <c r="H3" s="21">
        <f>(EXP(0.0994)-1)*100</f>
        <v>10.450801441578728</v>
      </c>
      <c r="I3" s="22" t="s">
        <v>46</v>
      </c>
      <c r="J3" s="17">
        <v>1647181</v>
      </c>
      <c r="K3" s="17">
        <v>76</v>
      </c>
      <c r="L3" s="18">
        <f>(K3/J3)*100000</f>
        <v>4.6139434585513071</v>
      </c>
      <c r="M3" s="19">
        <f>LN(L3)</f>
        <v>1.5290829053529633</v>
      </c>
      <c r="N3" s="20">
        <v>0.1449</v>
      </c>
      <c r="O3" s="21">
        <f>(EXP(N3)-1)*100</f>
        <v>15.592397209099996</v>
      </c>
      <c r="P3" s="22">
        <v>7.7000000000000002E-3</v>
      </c>
      <c r="Q3" s="17">
        <v>1540725</v>
      </c>
      <c r="R3" s="17">
        <v>43</v>
      </c>
      <c r="S3" s="18">
        <f>(R3/Q3)*100000</f>
        <v>2.7908938973535187</v>
      </c>
      <c r="T3" s="19">
        <f>LN(S3)</f>
        <v>1.0263619378349693</v>
      </c>
      <c r="U3" s="20">
        <v>0.106</v>
      </c>
      <c r="V3" s="21">
        <f>(EXP(U3)-1)*100</f>
        <v>11.182187650653086</v>
      </c>
      <c r="W3" s="23">
        <v>2.75E-2</v>
      </c>
      <c r="X3" s="13" t="s">
        <v>47</v>
      </c>
      <c r="Y3" s="13">
        <v>1</v>
      </c>
      <c r="Z3" s="13">
        <v>0.17299999999999999</v>
      </c>
      <c r="AA3" s="13">
        <v>0.17299999999999999</v>
      </c>
      <c r="AB3" s="13" t="s">
        <v>47</v>
      </c>
      <c r="AC3" s="13">
        <v>1</v>
      </c>
      <c r="AD3" s="13">
        <v>0.36720000000000003</v>
      </c>
      <c r="AE3" s="13">
        <v>0.36720000000000003</v>
      </c>
      <c r="AF3" s="13" t="s">
        <v>47</v>
      </c>
      <c r="AG3" s="13">
        <v>1</v>
      </c>
      <c r="AH3" s="13">
        <v>0.1966</v>
      </c>
      <c r="AI3" s="13">
        <v>0.1966</v>
      </c>
      <c r="AJ3" s="13" t="s">
        <v>47</v>
      </c>
      <c r="AK3" s="13">
        <v>1</v>
      </c>
      <c r="AL3" s="13">
        <v>0.29320000000000002</v>
      </c>
      <c r="AM3" s="13">
        <v>0.29320000000000002</v>
      </c>
      <c r="AN3" s="13" t="s">
        <v>47</v>
      </c>
      <c r="AO3" s="13">
        <v>1</v>
      </c>
      <c r="AP3" s="13">
        <v>0.30759999999999998</v>
      </c>
      <c r="AQ3" s="13">
        <v>0.30759999999999998</v>
      </c>
      <c r="AR3" s="13" t="s">
        <v>47</v>
      </c>
      <c r="AS3" s="13">
        <v>1</v>
      </c>
      <c r="AT3" s="13">
        <v>0.2666</v>
      </c>
      <c r="AU3" s="14">
        <v>0.2666</v>
      </c>
      <c r="AV3" s="13" t="s">
        <v>47</v>
      </c>
      <c r="AW3" s="13">
        <v>1</v>
      </c>
      <c r="AX3" s="13">
        <v>0.15459999999999999</v>
      </c>
      <c r="AY3" s="13">
        <v>0.15459999999999999</v>
      </c>
      <c r="AZ3" s="13" t="s">
        <v>47</v>
      </c>
      <c r="BA3" s="13">
        <v>1</v>
      </c>
      <c r="BB3" s="13">
        <v>0.17199999999999999</v>
      </c>
      <c r="BC3" s="13">
        <v>0.17199999999999999</v>
      </c>
      <c r="BD3" s="13" t="s">
        <v>47</v>
      </c>
      <c r="BE3" s="13">
        <v>1</v>
      </c>
      <c r="BF3" s="13">
        <v>0.12690000000000001</v>
      </c>
      <c r="BG3" s="13">
        <v>0.12690000000000001</v>
      </c>
      <c r="BH3" s="13" t="s">
        <v>47</v>
      </c>
      <c r="BI3" s="15">
        <v>1</v>
      </c>
      <c r="BJ3" s="15">
        <v>0.17699999999999999</v>
      </c>
      <c r="BK3" s="15">
        <v>0.17699999999999999</v>
      </c>
      <c r="BL3" s="15" t="s">
        <v>47</v>
      </c>
      <c r="BM3" s="15">
        <v>1</v>
      </c>
      <c r="BN3" s="15">
        <v>0.2041</v>
      </c>
      <c r="BO3" s="15">
        <v>0.2041</v>
      </c>
      <c r="BP3" s="15" t="s">
        <v>47</v>
      </c>
      <c r="BQ3" s="15">
        <v>1</v>
      </c>
      <c r="BR3" s="15">
        <v>0.14269999999999999</v>
      </c>
      <c r="BS3" s="15">
        <v>0.14269999999999999</v>
      </c>
      <c r="BT3" s="15" t="s">
        <v>47</v>
      </c>
      <c r="BU3" s="15">
        <v>1</v>
      </c>
      <c r="BV3" s="15">
        <v>9.8100000000000007E-2</v>
      </c>
      <c r="BW3" s="15">
        <v>9.8100000000000007E-2</v>
      </c>
      <c r="BX3" s="15" t="s">
        <v>47</v>
      </c>
      <c r="BY3" s="15">
        <v>1</v>
      </c>
      <c r="BZ3" s="15">
        <v>8.3000000000000004E-2</v>
      </c>
      <c r="CA3" s="15">
        <v>8.3000000000000004E-2</v>
      </c>
      <c r="CB3" s="15" t="s">
        <v>47</v>
      </c>
      <c r="CC3" s="15">
        <v>1</v>
      </c>
      <c r="CD3" s="15">
        <v>0.12770000000000001</v>
      </c>
      <c r="CE3" s="15">
        <v>0.12770000000000001</v>
      </c>
      <c r="CF3" s="15" t="s">
        <v>47</v>
      </c>
      <c r="CG3" s="15">
        <v>1</v>
      </c>
      <c r="CH3" s="15">
        <v>0.1226</v>
      </c>
      <c r="CI3" s="15">
        <v>0.1226</v>
      </c>
      <c r="CJ3" s="15" t="s">
        <v>47</v>
      </c>
      <c r="CK3" s="15">
        <v>1</v>
      </c>
      <c r="CL3" s="15">
        <v>0.15559999999999999</v>
      </c>
      <c r="CM3" s="15">
        <v>0.15559999999999999</v>
      </c>
      <c r="CN3" s="15" t="s">
        <v>47</v>
      </c>
      <c r="CO3" s="15">
        <v>1</v>
      </c>
      <c r="CP3" s="15">
        <v>7.6200000000000004E-2</v>
      </c>
      <c r="CQ3" s="15">
        <v>7.6200000000000004E-2</v>
      </c>
      <c r="CR3" s="15" t="s">
        <v>47</v>
      </c>
      <c r="CS3" s="15">
        <v>1</v>
      </c>
      <c r="CT3" s="15">
        <v>0.1603</v>
      </c>
      <c r="CU3" s="15">
        <v>0.1603</v>
      </c>
      <c r="CV3" s="15" t="s">
        <v>47</v>
      </c>
      <c r="CW3" s="15">
        <v>1</v>
      </c>
      <c r="CX3" s="15">
        <v>0.12429999999999999</v>
      </c>
      <c r="CY3" s="15">
        <v>0.12429999999999999</v>
      </c>
      <c r="CZ3" s="15" t="s">
        <v>47</v>
      </c>
      <c r="DA3" s="15">
        <v>1</v>
      </c>
      <c r="DB3" s="15">
        <v>0.224</v>
      </c>
      <c r="DC3" s="15">
        <v>0.224</v>
      </c>
      <c r="DD3" s="15" t="s">
        <v>47</v>
      </c>
      <c r="DE3" s="15">
        <v>1</v>
      </c>
      <c r="DF3" s="15" t="s">
        <v>48</v>
      </c>
      <c r="DG3" s="15" t="s">
        <v>48</v>
      </c>
      <c r="DH3" s="15" t="s">
        <v>47</v>
      </c>
      <c r="DI3" s="15">
        <v>1</v>
      </c>
      <c r="DJ3" s="15" t="s">
        <v>49</v>
      </c>
      <c r="DK3" s="15" t="s">
        <v>49</v>
      </c>
      <c r="DL3" s="15" t="s">
        <v>47</v>
      </c>
      <c r="DM3" s="15">
        <v>1</v>
      </c>
      <c r="DN3" s="15" t="s">
        <v>50</v>
      </c>
      <c r="DO3" s="15" t="s">
        <v>50</v>
      </c>
      <c r="DP3" s="15" t="s">
        <v>47</v>
      </c>
      <c r="DQ3" s="15">
        <v>1</v>
      </c>
      <c r="DR3" s="15" t="s">
        <v>51</v>
      </c>
      <c r="DS3" s="15" t="s">
        <v>51</v>
      </c>
      <c r="DT3" s="15" t="s">
        <v>47</v>
      </c>
      <c r="DU3" s="15">
        <v>1</v>
      </c>
      <c r="DV3" s="15" t="s">
        <v>52</v>
      </c>
      <c r="DW3" s="15" t="s">
        <v>52</v>
      </c>
      <c r="DX3" s="15" t="s">
        <v>47</v>
      </c>
      <c r="DY3" s="15">
        <v>1</v>
      </c>
      <c r="DZ3" s="15" t="s">
        <v>53</v>
      </c>
      <c r="EA3" s="15" t="s">
        <v>53</v>
      </c>
    </row>
    <row r="4" spans="1:137" ht="15.6" thickTop="1" thickBot="1" x14ac:dyDescent="0.35">
      <c r="A4" s="24"/>
      <c r="B4" s="17">
        <v>2017</v>
      </c>
      <c r="C4" s="17">
        <v>3193155</v>
      </c>
      <c r="D4" s="17">
        <v>132</v>
      </c>
      <c r="E4" s="18">
        <f t="shared" ref="E4:E56" si="0">(D4/C4)*100000</f>
        <v>4.1338425475744209</v>
      </c>
      <c r="F4" s="19">
        <f t="shared" ref="F4:F56" si="1">LN(E4)</f>
        <v>1.4192073733485666</v>
      </c>
      <c r="G4" s="25"/>
      <c r="H4" s="21"/>
      <c r="I4" s="26"/>
      <c r="J4" s="17">
        <v>1650541</v>
      </c>
      <c r="K4" s="17">
        <v>85</v>
      </c>
      <c r="L4" s="18">
        <f t="shared" ref="L4:L56" si="2">(K4/J4)*100000</f>
        <v>5.1498266326010684</v>
      </c>
      <c r="M4" s="19">
        <f t="shared" ref="M4:M56" si="3">LN(L4)</f>
        <v>1.6389630505364059</v>
      </c>
      <c r="N4" s="25"/>
      <c r="O4" s="21"/>
      <c r="P4" s="26"/>
      <c r="Q4" s="17">
        <v>1542614</v>
      </c>
      <c r="R4" s="17">
        <v>47</v>
      </c>
      <c r="S4" s="18">
        <f t="shared" ref="S4:S56" si="4">(R4/Q4)*100000</f>
        <v>3.0467764456954236</v>
      </c>
      <c r="T4" s="19">
        <f t="shared" ref="T4:T56" si="5">LN(S4)</f>
        <v>1.1140841286527623</v>
      </c>
      <c r="U4" s="25"/>
      <c r="V4" s="21"/>
      <c r="W4" s="27"/>
      <c r="X4" s="28" t="s">
        <v>54</v>
      </c>
      <c r="Y4" s="29">
        <v>4</v>
      </c>
      <c r="Z4" s="30">
        <v>3.39E-2</v>
      </c>
      <c r="AA4" s="31">
        <v>8.5000000000000006E-3</v>
      </c>
      <c r="AB4" s="28" t="s">
        <v>54</v>
      </c>
      <c r="AC4" s="29">
        <v>4</v>
      </c>
      <c r="AD4" s="30">
        <v>5.9700000000000003E-2</v>
      </c>
      <c r="AE4" s="31">
        <v>1.49E-2</v>
      </c>
      <c r="AF4" s="28" t="s">
        <v>54</v>
      </c>
      <c r="AG4" s="29">
        <v>4</v>
      </c>
      <c r="AH4" s="30">
        <v>6.8500000000000005E-2</v>
      </c>
      <c r="AI4" s="31">
        <v>1.7100000000000001E-2</v>
      </c>
      <c r="AJ4" s="30" t="s">
        <v>54</v>
      </c>
      <c r="AK4" s="31">
        <v>4</v>
      </c>
      <c r="AL4" s="28">
        <v>1.1900000000000001E-2</v>
      </c>
      <c r="AM4" s="29">
        <v>3.0000000000000001E-3</v>
      </c>
      <c r="AN4" s="30" t="s">
        <v>54</v>
      </c>
      <c r="AO4" s="31">
        <v>4</v>
      </c>
      <c r="AP4" s="28">
        <v>5.5999999999999999E-3</v>
      </c>
      <c r="AQ4" s="29">
        <v>1.4E-3</v>
      </c>
      <c r="AR4" s="30" t="s">
        <v>54</v>
      </c>
      <c r="AS4" s="31">
        <v>4</v>
      </c>
      <c r="AT4" s="15">
        <v>4.1599999999999998E-2</v>
      </c>
      <c r="AU4" s="32">
        <v>1.04E-2</v>
      </c>
      <c r="AV4" s="15" t="s">
        <v>54</v>
      </c>
      <c r="AW4" s="15">
        <v>4</v>
      </c>
      <c r="AX4" s="15">
        <v>5.7000000000000002E-3</v>
      </c>
      <c r="AY4" s="15">
        <v>1.4E-3</v>
      </c>
      <c r="AZ4" s="15" t="s">
        <v>54</v>
      </c>
      <c r="BA4" s="15">
        <v>4</v>
      </c>
      <c r="BB4" s="15">
        <v>5.8999999999999999E-3</v>
      </c>
      <c r="BC4" s="15">
        <v>1.5E-3</v>
      </c>
      <c r="BD4" s="15" t="s">
        <v>54</v>
      </c>
      <c r="BE4" s="15">
        <v>4</v>
      </c>
      <c r="BF4" s="15">
        <v>2.7099999999999999E-2</v>
      </c>
      <c r="BG4" s="15">
        <v>6.7999999999999996E-3</v>
      </c>
      <c r="BH4" s="15" t="s">
        <v>54</v>
      </c>
      <c r="BI4" s="15">
        <v>4</v>
      </c>
      <c r="BJ4" s="15">
        <v>1.8200000000000001E-2</v>
      </c>
      <c r="BK4" s="15">
        <v>4.4999999999999997E-3</v>
      </c>
      <c r="BL4" s="15" t="s">
        <v>54</v>
      </c>
      <c r="BM4" s="15">
        <v>4</v>
      </c>
      <c r="BN4" s="15">
        <v>2.5700000000000001E-2</v>
      </c>
      <c r="BO4" s="15">
        <v>6.4000000000000003E-3</v>
      </c>
      <c r="BP4" s="15" t="s">
        <v>54</v>
      </c>
      <c r="BQ4" s="15">
        <v>4</v>
      </c>
      <c r="BR4" s="15">
        <v>5.1700000000000003E-2</v>
      </c>
      <c r="BS4" s="15">
        <v>1.29E-2</v>
      </c>
      <c r="BT4" s="15" t="s">
        <v>54</v>
      </c>
      <c r="BU4" s="15">
        <v>4</v>
      </c>
      <c r="BV4" s="15">
        <v>2.2700000000000001E-2</v>
      </c>
      <c r="BW4" s="15">
        <v>5.7000000000000002E-3</v>
      </c>
      <c r="BX4" s="15" t="s">
        <v>54</v>
      </c>
      <c r="BY4" s="15">
        <v>4</v>
      </c>
      <c r="BZ4" s="15">
        <v>4.1300000000000003E-2</v>
      </c>
      <c r="CA4" s="15">
        <v>1.03E-2</v>
      </c>
      <c r="CB4" s="15" t="s">
        <v>54</v>
      </c>
      <c r="CC4" s="15">
        <v>4</v>
      </c>
      <c r="CD4" s="15">
        <v>0.02</v>
      </c>
      <c r="CE4" s="15">
        <v>5.0000000000000001E-3</v>
      </c>
      <c r="CF4" s="15" t="s">
        <v>54</v>
      </c>
      <c r="CG4" s="15">
        <v>4</v>
      </c>
      <c r="CH4" s="15">
        <v>1.6400000000000001E-2</v>
      </c>
      <c r="CI4" s="15">
        <v>4.1000000000000003E-3</v>
      </c>
      <c r="CJ4" s="15" t="s">
        <v>54</v>
      </c>
      <c r="CK4" s="15">
        <v>4</v>
      </c>
      <c r="CL4" s="15">
        <v>1.4800000000000001E-2</v>
      </c>
      <c r="CM4" s="15">
        <v>3.7000000000000002E-3</v>
      </c>
      <c r="CN4" s="15" t="s">
        <v>54</v>
      </c>
      <c r="CO4" s="15">
        <v>4</v>
      </c>
      <c r="CP4" s="15">
        <v>3.1699999999999999E-2</v>
      </c>
      <c r="CQ4" s="15">
        <v>7.9000000000000008E-3</v>
      </c>
      <c r="CR4" s="15" t="s">
        <v>54</v>
      </c>
      <c r="CS4" s="15">
        <v>4</v>
      </c>
      <c r="CT4" s="15">
        <v>1.2E-2</v>
      </c>
      <c r="CU4" s="15">
        <v>3.0000000000000001E-3</v>
      </c>
      <c r="CV4" s="15" t="s">
        <v>54</v>
      </c>
      <c r="CW4" s="15">
        <v>4</v>
      </c>
      <c r="CX4" s="15">
        <v>3.7199999999999997E-2</v>
      </c>
      <c r="CY4" s="15">
        <v>9.2999999999999992E-3</v>
      </c>
      <c r="CZ4" s="15" t="s">
        <v>54</v>
      </c>
      <c r="DA4" s="15">
        <v>4</v>
      </c>
      <c r="DB4" s="15">
        <v>3.3700000000000001E-2</v>
      </c>
      <c r="DC4" s="15">
        <v>8.3999999999999995E-3</v>
      </c>
      <c r="DD4" s="15" t="s">
        <v>54</v>
      </c>
      <c r="DE4" s="15">
        <v>4</v>
      </c>
      <c r="DF4" s="15" t="s">
        <v>55</v>
      </c>
      <c r="DG4" s="15" t="s">
        <v>56</v>
      </c>
      <c r="DH4" s="15" t="s">
        <v>54</v>
      </c>
      <c r="DI4" s="15">
        <v>4</v>
      </c>
      <c r="DJ4" s="15" t="s">
        <v>57</v>
      </c>
      <c r="DK4" s="15" t="s">
        <v>58</v>
      </c>
      <c r="DL4" s="15" t="s">
        <v>54</v>
      </c>
      <c r="DM4" s="15">
        <v>4</v>
      </c>
      <c r="DN4" s="15" t="s">
        <v>59</v>
      </c>
      <c r="DO4" s="15" t="s">
        <v>60</v>
      </c>
      <c r="DP4" s="15" t="s">
        <v>54</v>
      </c>
      <c r="DQ4" s="15">
        <v>4</v>
      </c>
      <c r="DR4" s="15" t="s">
        <v>61</v>
      </c>
      <c r="DS4" s="15" t="s">
        <v>62</v>
      </c>
      <c r="DT4" s="15" t="s">
        <v>54</v>
      </c>
      <c r="DU4" s="15">
        <v>4</v>
      </c>
      <c r="DV4" s="15" t="s">
        <v>63</v>
      </c>
      <c r="DW4" s="15" t="s">
        <v>64</v>
      </c>
      <c r="DX4" s="15" t="s">
        <v>54</v>
      </c>
      <c r="DY4" s="15">
        <v>4</v>
      </c>
      <c r="DZ4" s="15" t="s">
        <v>65</v>
      </c>
      <c r="EA4" s="15" t="s">
        <v>66</v>
      </c>
    </row>
    <row r="5" spans="1:137" ht="15.6" thickTop="1" thickBot="1" x14ac:dyDescent="0.35">
      <c r="A5" s="24"/>
      <c r="B5" s="17">
        <v>2018</v>
      </c>
      <c r="C5" s="17">
        <v>3200068</v>
      </c>
      <c r="D5" s="17">
        <v>165</v>
      </c>
      <c r="E5" s="18">
        <f t="shared" si="0"/>
        <v>5.1561404320158193</v>
      </c>
      <c r="F5" s="19">
        <f t="shared" si="1"/>
        <v>1.6401883213266319</v>
      </c>
      <c r="G5" s="25"/>
      <c r="H5" s="21"/>
      <c r="I5" s="26"/>
      <c r="J5" s="17">
        <v>1654539</v>
      </c>
      <c r="K5" s="17">
        <v>103</v>
      </c>
      <c r="L5" s="18">
        <f t="shared" si="2"/>
        <v>6.2252990107818551</v>
      </c>
      <c r="M5" s="19">
        <f t="shared" si="3"/>
        <v>1.8286214750577214</v>
      </c>
      <c r="N5" s="25"/>
      <c r="O5" s="21"/>
      <c r="P5" s="26"/>
      <c r="Q5" s="17">
        <v>1545717</v>
      </c>
      <c r="R5" s="17">
        <v>62</v>
      </c>
      <c r="S5" s="18">
        <f t="shared" si="4"/>
        <v>4.0110835295206044</v>
      </c>
      <c r="T5" s="19">
        <f t="shared" si="5"/>
        <v>1.3890614116821718</v>
      </c>
      <c r="U5" s="25"/>
      <c r="V5" s="21"/>
      <c r="W5" s="27"/>
      <c r="X5" s="28" t="s">
        <v>67</v>
      </c>
      <c r="Y5" s="29">
        <v>5</v>
      </c>
      <c r="Z5" s="30">
        <v>0.2069</v>
      </c>
      <c r="AA5" s="31" t="s">
        <v>68</v>
      </c>
      <c r="AB5" s="28" t="s">
        <v>67</v>
      </c>
      <c r="AC5" s="29">
        <v>5</v>
      </c>
      <c r="AD5" s="30">
        <v>0.4269</v>
      </c>
      <c r="AE5" s="31" t="s">
        <v>68</v>
      </c>
      <c r="AF5" s="28" t="s">
        <v>67</v>
      </c>
      <c r="AG5" s="29">
        <v>5</v>
      </c>
      <c r="AH5" s="30">
        <v>0.2651</v>
      </c>
      <c r="AI5" s="31" t="s">
        <v>68</v>
      </c>
      <c r="AJ5" s="30" t="s">
        <v>67</v>
      </c>
      <c r="AK5" s="31">
        <v>5</v>
      </c>
      <c r="AL5" s="28">
        <v>0.30509999999999998</v>
      </c>
      <c r="AM5" s="29" t="s">
        <v>68</v>
      </c>
      <c r="AN5" s="30" t="s">
        <v>67</v>
      </c>
      <c r="AO5" s="31">
        <v>5</v>
      </c>
      <c r="AP5" s="28">
        <v>0.31319999999999998</v>
      </c>
      <c r="AQ5" s="29" t="s">
        <v>68</v>
      </c>
      <c r="AR5" s="30" t="s">
        <v>67</v>
      </c>
      <c r="AS5" s="31">
        <v>5</v>
      </c>
      <c r="AT5" s="15">
        <v>0.30819999999999997</v>
      </c>
      <c r="AU5" s="32" t="s">
        <v>68</v>
      </c>
      <c r="AV5" s="15" t="s">
        <v>67</v>
      </c>
      <c r="AW5" s="15">
        <v>5</v>
      </c>
      <c r="AX5" s="15">
        <v>0.1603</v>
      </c>
      <c r="AY5" s="15" t="s">
        <v>68</v>
      </c>
      <c r="AZ5" s="15" t="s">
        <v>67</v>
      </c>
      <c r="BA5" s="15">
        <v>5</v>
      </c>
      <c r="BB5" s="15">
        <v>0.1779</v>
      </c>
      <c r="BC5" s="15" t="s">
        <v>68</v>
      </c>
      <c r="BD5" s="15" t="s">
        <v>67</v>
      </c>
      <c r="BE5" s="15">
        <v>5</v>
      </c>
      <c r="BF5" s="15">
        <v>0.15390000000000001</v>
      </c>
      <c r="BG5" s="15" t="s">
        <v>68</v>
      </c>
      <c r="BH5" s="15" t="s">
        <v>67</v>
      </c>
      <c r="BI5" s="15">
        <v>5</v>
      </c>
      <c r="BJ5" s="15">
        <v>0.19520000000000001</v>
      </c>
      <c r="BK5" s="15" t="s">
        <v>68</v>
      </c>
      <c r="BL5" s="15" t="s">
        <v>67</v>
      </c>
      <c r="BM5" s="15">
        <v>5</v>
      </c>
      <c r="BN5" s="15">
        <v>0.2298</v>
      </c>
      <c r="BO5" s="15" t="s">
        <v>68</v>
      </c>
      <c r="BP5" s="15" t="s">
        <v>67</v>
      </c>
      <c r="BQ5" s="15">
        <v>5</v>
      </c>
      <c r="BR5" s="15">
        <v>0.1943</v>
      </c>
      <c r="BS5" s="15" t="s">
        <v>68</v>
      </c>
      <c r="BT5" s="15" t="s">
        <v>67</v>
      </c>
      <c r="BU5" s="15">
        <v>5</v>
      </c>
      <c r="BV5" s="15">
        <v>0.1208</v>
      </c>
      <c r="BW5" s="15" t="s">
        <v>68</v>
      </c>
      <c r="BX5" s="15" t="s">
        <v>67</v>
      </c>
      <c r="BY5" s="15">
        <v>5</v>
      </c>
      <c r="BZ5" s="15">
        <v>0.12429999999999999</v>
      </c>
      <c r="CA5" s="15" t="s">
        <v>68</v>
      </c>
      <c r="CB5" s="15" t="s">
        <v>67</v>
      </c>
      <c r="CC5" s="15">
        <v>5</v>
      </c>
      <c r="CD5" s="15">
        <v>0.1477</v>
      </c>
      <c r="CE5" s="15" t="s">
        <v>68</v>
      </c>
      <c r="CF5" s="15" t="s">
        <v>67</v>
      </c>
      <c r="CG5" s="15">
        <v>5</v>
      </c>
      <c r="CH5" s="15">
        <v>0.1391</v>
      </c>
      <c r="CI5" s="15" t="s">
        <v>68</v>
      </c>
      <c r="CJ5" s="15" t="s">
        <v>67</v>
      </c>
      <c r="CK5" s="15">
        <v>5</v>
      </c>
      <c r="CL5" s="15">
        <v>0.17030000000000001</v>
      </c>
      <c r="CM5" s="15" t="s">
        <v>68</v>
      </c>
      <c r="CN5" s="15" t="s">
        <v>67</v>
      </c>
      <c r="CO5" s="15">
        <v>5</v>
      </c>
      <c r="CP5" s="15">
        <v>0.1079</v>
      </c>
      <c r="CQ5" s="15" t="s">
        <v>68</v>
      </c>
      <c r="CR5" s="15" t="s">
        <v>67</v>
      </c>
      <c r="CS5" s="15">
        <v>5</v>
      </c>
      <c r="CT5" s="15">
        <v>0.17230000000000001</v>
      </c>
      <c r="CU5" s="15" t="s">
        <v>68</v>
      </c>
      <c r="CV5" s="15" t="s">
        <v>67</v>
      </c>
      <c r="CW5" s="15">
        <v>5</v>
      </c>
      <c r="CX5" s="15">
        <v>0.1615</v>
      </c>
      <c r="CY5" s="15" t="s">
        <v>68</v>
      </c>
      <c r="CZ5" s="15" t="s">
        <v>67</v>
      </c>
      <c r="DA5" s="15">
        <v>5</v>
      </c>
      <c r="DB5" s="15">
        <v>0.25769999999999998</v>
      </c>
      <c r="DC5" s="15" t="s">
        <v>68</v>
      </c>
      <c r="DD5" s="15" t="s">
        <v>67</v>
      </c>
      <c r="DE5" s="15">
        <v>5</v>
      </c>
      <c r="DF5" s="15" t="s">
        <v>69</v>
      </c>
      <c r="DG5" s="15" t="s">
        <v>68</v>
      </c>
      <c r="DH5" s="15" t="s">
        <v>67</v>
      </c>
      <c r="DI5" s="15">
        <v>5</v>
      </c>
      <c r="DJ5" s="15" t="s">
        <v>70</v>
      </c>
      <c r="DK5" s="15" t="s">
        <v>68</v>
      </c>
      <c r="DL5" s="15" t="s">
        <v>67</v>
      </c>
      <c r="DM5" s="15">
        <v>5</v>
      </c>
      <c r="DN5" s="15" t="s">
        <v>71</v>
      </c>
      <c r="DO5" s="15" t="s">
        <v>68</v>
      </c>
      <c r="DP5" s="15" t="s">
        <v>67</v>
      </c>
      <c r="DQ5" s="15">
        <v>5</v>
      </c>
      <c r="DR5" s="15" t="s">
        <v>72</v>
      </c>
      <c r="DS5" s="15" t="s">
        <v>68</v>
      </c>
      <c r="DT5" s="15" t="s">
        <v>67</v>
      </c>
      <c r="DU5" s="15">
        <v>5</v>
      </c>
      <c r="DV5" s="15" t="s">
        <v>73</v>
      </c>
      <c r="DW5" s="15" t="s">
        <v>68</v>
      </c>
      <c r="DX5" s="15" t="s">
        <v>67</v>
      </c>
      <c r="DY5" s="15">
        <v>5</v>
      </c>
      <c r="DZ5" s="15" t="s">
        <v>74</v>
      </c>
      <c r="EA5" s="15" t="s">
        <v>68</v>
      </c>
    </row>
    <row r="6" spans="1:137" ht="15.6" thickTop="1" thickBot="1" x14ac:dyDescent="0.35">
      <c r="A6" s="24"/>
      <c r="B6" s="17">
        <v>2019</v>
      </c>
      <c r="C6" s="17">
        <v>3208704</v>
      </c>
      <c r="D6" s="17">
        <v>194</v>
      </c>
      <c r="E6" s="18">
        <f t="shared" si="0"/>
        <v>6.0460547311313224</v>
      </c>
      <c r="F6" s="19">
        <f t="shared" si="1"/>
        <v>1.7994059487693732</v>
      </c>
      <c r="G6" s="25"/>
      <c r="H6" s="21"/>
      <c r="I6" s="26"/>
      <c r="J6" s="17">
        <v>1659101</v>
      </c>
      <c r="K6" s="17">
        <v>117</v>
      </c>
      <c r="L6" s="18">
        <f t="shared" si="2"/>
        <v>7.0520119028317145</v>
      </c>
      <c r="M6" s="19">
        <f t="shared" si="3"/>
        <v>1.9533129524002961</v>
      </c>
      <c r="N6" s="25"/>
      <c r="O6" s="21"/>
      <c r="P6" s="26"/>
      <c r="Q6" s="17">
        <v>1549603</v>
      </c>
      <c r="R6" s="17">
        <v>77</v>
      </c>
      <c r="S6" s="18">
        <f t="shared" si="4"/>
        <v>4.9690146443960161</v>
      </c>
      <c r="T6" s="19">
        <f t="shared" si="5"/>
        <v>1.6032215597673836</v>
      </c>
      <c r="U6" s="25"/>
      <c r="V6" s="21"/>
      <c r="W6" s="27"/>
      <c r="X6" s="28"/>
      <c r="Y6" s="29"/>
      <c r="Z6" s="30"/>
      <c r="AA6" s="31"/>
      <c r="AB6" s="28"/>
      <c r="AC6" s="29"/>
      <c r="AD6" s="30"/>
      <c r="AE6" s="31"/>
      <c r="AF6" s="28"/>
      <c r="AG6" s="29"/>
      <c r="AH6" s="30"/>
      <c r="AI6" s="31"/>
      <c r="AJ6" s="30"/>
      <c r="AK6" s="31"/>
      <c r="AL6" s="28"/>
      <c r="AM6" s="29"/>
      <c r="AN6" s="30"/>
      <c r="AO6" s="31"/>
      <c r="AP6" s="28"/>
      <c r="AQ6" s="29"/>
      <c r="AR6" s="30"/>
      <c r="AS6" s="31"/>
      <c r="AT6" s="15"/>
      <c r="AU6" s="32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</row>
    <row r="7" spans="1:137" ht="21" customHeight="1" thickTop="1" thickBot="1" x14ac:dyDescent="0.35">
      <c r="A7" s="24"/>
      <c r="B7" s="17">
        <v>2020</v>
      </c>
      <c r="C7" s="17">
        <v>3214823</v>
      </c>
      <c r="D7" s="17">
        <v>177</v>
      </c>
      <c r="E7" s="18">
        <f t="shared" si="0"/>
        <v>5.5057463505766879</v>
      </c>
      <c r="F7" s="19">
        <f t="shared" si="1"/>
        <v>1.7057923378380999</v>
      </c>
      <c r="G7" s="25"/>
      <c r="H7" s="21"/>
      <c r="I7" s="26"/>
      <c r="J7" s="17">
        <v>1662662</v>
      </c>
      <c r="K7" s="17">
        <v>110</v>
      </c>
      <c r="L7" s="18">
        <f t="shared" si="2"/>
        <v>6.6158966765343763</v>
      </c>
      <c r="M7" s="19">
        <f t="shared" si="3"/>
        <v>1.8894753403887958</v>
      </c>
      <c r="N7" s="25"/>
      <c r="O7" s="21"/>
      <c r="P7" s="26"/>
      <c r="Q7" s="17">
        <v>1552161</v>
      </c>
      <c r="R7" s="17">
        <v>67</v>
      </c>
      <c r="S7" s="18">
        <f t="shared" si="4"/>
        <v>4.3165625215425463</v>
      </c>
      <c r="T7" s="19">
        <f t="shared" si="5"/>
        <v>1.4624593729028137</v>
      </c>
      <c r="U7" s="25"/>
      <c r="V7" s="21"/>
      <c r="W7" s="27"/>
      <c r="X7" s="28" t="s">
        <v>75</v>
      </c>
      <c r="Y7" s="29">
        <v>20.396999999999998</v>
      </c>
      <c r="Z7" s="30" t="s">
        <v>76</v>
      </c>
      <c r="AA7" s="31"/>
      <c r="AB7" s="28" t="s">
        <v>75</v>
      </c>
      <c r="AC7" s="29">
        <v>24.616099999999999</v>
      </c>
      <c r="AD7" s="30" t="s">
        <v>77</v>
      </c>
      <c r="AE7" s="31"/>
      <c r="AF7" s="28" t="s">
        <v>75</v>
      </c>
      <c r="AG7" s="29">
        <v>11.4899</v>
      </c>
      <c r="AH7" s="30" t="s">
        <v>78</v>
      </c>
      <c r="AI7" s="31"/>
      <c r="AJ7" s="30" t="s">
        <v>75</v>
      </c>
      <c r="AK7" s="31">
        <v>98.311599999999999</v>
      </c>
      <c r="AL7" s="28" t="s">
        <v>79</v>
      </c>
      <c r="AM7" s="29"/>
      <c r="AN7" s="30" t="s">
        <v>75</v>
      </c>
      <c r="AO7" s="31">
        <v>218.35290000000001</v>
      </c>
      <c r="AP7" s="28" t="s">
        <v>80</v>
      </c>
      <c r="AQ7" s="29"/>
      <c r="AR7" s="30" t="s">
        <v>75</v>
      </c>
      <c r="AS7" s="31">
        <v>25.6387</v>
      </c>
      <c r="AT7" s="15" t="s">
        <v>81</v>
      </c>
      <c r="AU7" s="32"/>
      <c r="AV7" s="15" t="s">
        <v>75</v>
      </c>
      <c r="AW7" s="15">
        <v>109.408</v>
      </c>
      <c r="AX7" s="15" t="s">
        <v>82</v>
      </c>
      <c r="AY7" s="15"/>
      <c r="AZ7" s="15" t="s">
        <v>75</v>
      </c>
      <c r="BA7" s="15">
        <v>115.88930000000001</v>
      </c>
      <c r="BB7" s="15" t="s">
        <v>82</v>
      </c>
      <c r="BC7" s="15"/>
      <c r="BD7" s="15" t="s">
        <v>75</v>
      </c>
      <c r="BE7" s="15">
        <v>18.7456</v>
      </c>
      <c r="BF7" s="15" t="s">
        <v>83</v>
      </c>
      <c r="BG7" s="15"/>
      <c r="BH7" s="15" t="s">
        <v>75</v>
      </c>
      <c r="BI7" s="15">
        <v>38.9146</v>
      </c>
      <c r="BJ7" s="15" t="s">
        <v>84</v>
      </c>
      <c r="BK7" s="15"/>
      <c r="BL7" s="15" t="s">
        <v>75</v>
      </c>
      <c r="BM7" s="15">
        <v>31.7944</v>
      </c>
      <c r="BN7" s="15" t="s">
        <v>85</v>
      </c>
      <c r="BO7" s="15"/>
      <c r="BP7" s="15" t="s">
        <v>75</v>
      </c>
      <c r="BQ7" s="15">
        <v>11.040699999999999</v>
      </c>
      <c r="BR7" s="15" t="s">
        <v>86</v>
      </c>
      <c r="BS7" s="15"/>
      <c r="BT7" s="15" t="s">
        <v>75</v>
      </c>
      <c r="BU7" s="15">
        <v>17.2516</v>
      </c>
      <c r="BV7" s="15" t="s">
        <v>87</v>
      </c>
      <c r="BW7" s="15"/>
      <c r="BX7" s="15" t="s">
        <v>75</v>
      </c>
      <c r="BY7" s="15">
        <v>8.0341000000000005</v>
      </c>
      <c r="BZ7" s="15" t="s">
        <v>88</v>
      </c>
      <c r="CA7" s="15"/>
      <c r="CB7" s="15" t="s">
        <v>75</v>
      </c>
      <c r="CC7" s="15">
        <v>25.584599999999998</v>
      </c>
      <c r="CD7" s="15" t="s">
        <v>81</v>
      </c>
      <c r="CE7" s="15"/>
      <c r="CF7" s="15" t="s">
        <v>75</v>
      </c>
      <c r="CG7" s="15">
        <v>29.836300000000001</v>
      </c>
      <c r="CH7" s="15" t="s">
        <v>89</v>
      </c>
      <c r="CI7" s="15"/>
      <c r="CJ7" s="15" t="s">
        <v>75</v>
      </c>
      <c r="CK7" s="15">
        <v>42.154800000000002</v>
      </c>
      <c r="CL7" s="15" t="s">
        <v>90</v>
      </c>
      <c r="CM7" s="15"/>
      <c r="CN7" s="15" t="s">
        <v>75</v>
      </c>
      <c r="CO7" s="15">
        <v>9.6331000000000007</v>
      </c>
      <c r="CP7" s="15" t="s">
        <v>91</v>
      </c>
      <c r="CQ7" s="15"/>
      <c r="CR7" s="15" t="s">
        <v>75</v>
      </c>
      <c r="CS7" s="15">
        <v>53.610700000000001</v>
      </c>
      <c r="CT7" s="15" t="s">
        <v>92</v>
      </c>
      <c r="CU7" s="15"/>
      <c r="CV7" s="15" t="s">
        <v>75</v>
      </c>
      <c r="CW7" s="15">
        <v>13.381600000000001</v>
      </c>
      <c r="CX7" s="15" t="s">
        <v>93</v>
      </c>
      <c r="CY7" s="15"/>
      <c r="CZ7" s="15" t="s">
        <v>75</v>
      </c>
      <c r="DA7" s="15">
        <v>26.582000000000001</v>
      </c>
      <c r="DB7" s="15" t="s">
        <v>94</v>
      </c>
      <c r="DC7" s="15"/>
      <c r="DD7" s="15" t="s">
        <v>75</v>
      </c>
      <c r="DE7" s="15" t="s">
        <v>95</v>
      </c>
      <c r="DF7" s="15" t="s">
        <v>96</v>
      </c>
      <c r="DG7" s="15"/>
      <c r="DH7" s="15" t="s">
        <v>75</v>
      </c>
      <c r="DI7" s="15" t="s">
        <v>97</v>
      </c>
      <c r="DJ7" s="15" t="s">
        <v>98</v>
      </c>
      <c r="DK7" s="15"/>
      <c r="DL7" s="15" t="s">
        <v>75</v>
      </c>
      <c r="DM7" s="15" t="s">
        <v>99</v>
      </c>
      <c r="DN7" s="15" t="s">
        <v>100</v>
      </c>
      <c r="DO7" s="15"/>
      <c r="DP7" s="15" t="s">
        <v>75</v>
      </c>
      <c r="DQ7" s="15" t="s">
        <v>101</v>
      </c>
      <c r="DR7" s="15" t="s">
        <v>102</v>
      </c>
      <c r="DS7" s="15"/>
      <c r="DT7" s="15" t="s">
        <v>75</v>
      </c>
      <c r="DU7" s="15" t="s">
        <v>103</v>
      </c>
      <c r="DV7" s="15" t="s">
        <v>104</v>
      </c>
      <c r="DW7" s="15"/>
      <c r="DX7" s="15" t="s">
        <v>75</v>
      </c>
      <c r="DY7" s="15" t="s">
        <v>105</v>
      </c>
      <c r="DZ7" s="15" t="s">
        <v>106</v>
      </c>
      <c r="EA7" s="15"/>
    </row>
    <row r="8" spans="1:137" ht="18.600000000000001" customHeight="1" thickTop="1" thickBot="1" x14ac:dyDescent="0.35">
      <c r="A8" s="33"/>
      <c r="B8" s="17">
        <v>2021</v>
      </c>
      <c r="C8" s="17">
        <v>3217819</v>
      </c>
      <c r="D8" s="17">
        <v>196</v>
      </c>
      <c r="E8" s="18">
        <f t="shared" si="0"/>
        <v>6.0910821895202929</v>
      </c>
      <c r="F8" s="19">
        <f t="shared" si="1"/>
        <v>1.8068257653637518</v>
      </c>
      <c r="G8" s="34"/>
      <c r="H8" s="21"/>
      <c r="I8" s="35"/>
      <c r="J8" s="17">
        <v>1172810</v>
      </c>
      <c r="K8" s="17">
        <v>125</v>
      </c>
      <c r="L8" s="18">
        <f t="shared" si="2"/>
        <v>10.658162873781773</v>
      </c>
      <c r="M8" s="19">
        <f t="shared" si="3"/>
        <v>2.3663260655913554</v>
      </c>
      <c r="N8" s="34"/>
      <c r="O8" s="21"/>
      <c r="P8" s="35"/>
      <c r="Q8" s="17">
        <v>1552917</v>
      </c>
      <c r="R8" s="17">
        <v>71</v>
      </c>
      <c r="S8" s="18">
        <f t="shared" si="4"/>
        <v>4.5720408753333244</v>
      </c>
      <c r="T8" s="19">
        <f t="shared" si="5"/>
        <v>1.5199596862542188</v>
      </c>
      <c r="U8" s="34"/>
      <c r="V8" s="21"/>
      <c r="W8" s="36"/>
      <c r="X8" s="28" t="s">
        <v>107</v>
      </c>
      <c r="Y8" s="29" t="s">
        <v>108</v>
      </c>
      <c r="Z8" s="37" t="s">
        <v>109</v>
      </c>
      <c r="AA8" s="31"/>
      <c r="AB8" s="28" t="s">
        <v>107</v>
      </c>
      <c r="AC8" s="29" t="s">
        <v>108</v>
      </c>
      <c r="AD8" s="30"/>
      <c r="AE8" s="31"/>
      <c r="AF8" s="28" t="s">
        <v>107</v>
      </c>
      <c r="AG8" s="29" t="s">
        <v>108</v>
      </c>
      <c r="AH8" s="30"/>
      <c r="AI8" s="31"/>
      <c r="AJ8" s="30" t="s">
        <v>107</v>
      </c>
      <c r="AK8" s="31" t="s">
        <v>108</v>
      </c>
      <c r="AL8" s="28"/>
      <c r="AM8" s="29"/>
      <c r="AN8" s="30" t="s">
        <v>107</v>
      </c>
      <c r="AO8" s="31" t="s">
        <v>108</v>
      </c>
      <c r="AP8" s="28"/>
      <c r="AQ8" s="29"/>
      <c r="AR8" s="30" t="s">
        <v>107</v>
      </c>
      <c r="AS8" s="31" t="s">
        <v>108</v>
      </c>
      <c r="AT8" s="15"/>
      <c r="AU8" s="32"/>
      <c r="AV8" s="15" t="s">
        <v>107</v>
      </c>
      <c r="AW8" s="15" t="s">
        <v>108</v>
      </c>
      <c r="AX8" s="15"/>
      <c r="AY8" s="15"/>
      <c r="AZ8" s="15" t="s">
        <v>107</v>
      </c>
      <c r="BA8" s="15" t="s">
        <v>108</v>
      </c>
      <c r="BB8" s="15"/>
      <c r="BC8" s="15"/>
      <c r="BD8" s="15" t="s">
        <v>107</v>
      </c>
      <c r="BE8" s="15" t="s">
        <v>108</v>
      </c>
      <c r="BF8" s="15"/>
      <c r="BG8" s="15"/>
      <c r="BH8" s="15" t="s">
        <v>107</v>
      </c>
      <c r="BI8" s="15" t="s">
        <v>108</v>
      </c>
      <c r="BJ8" s="15"/>
      <c r="BK8" s="15"/>
      <c r="BL8" s="15" t="s">
        <v>107</v>
      </c>
      <c r="BM8" s="15" t="s">
        <v>108</v>
      </c>
      <c r="BN8" s="15"/>
      <c r="BO8" s="15"/>
      <c r="BP8" s="15" t="s">
        <v>107</v>
      </c>
      <c r="BQ8" s="15" t="s">
        <v>108</v>
      </c>
      <c r="BR8" s="15"/>
      <c r="BS8" s="15"/>
      <c r="BT8" s="15" t="s">
        <v>107</v>
      </c>
      <c r="BU8" s="15" t="s">
        <v>108</v>
      </c>
      <c r="BV8" s="15"/>
      <c r="BW8" s="15"/>
      <c r="BX8" s="15" t="s">
        <v>107</v>
      </c>
      <c r="BY8" s="15" t="s">
        <v>108</v>
      </c>
      <c r="BZ8" s="15"/>
      <c r="CA8" s="15"/>
      <c r="CB8" s="15" t="s">
        <v>107</v>
      </c>
      <c r="CC8" s="15" t="s">
        <v>108</v>
      </c>
      <c r="CD8" s="15"/>
      <c r="CE8" s="15"/>
      <c r="CF8" s="15" t="s">
        <v>107</v>
      </c>
      <c r="CG8" s="15" t="s">
        <v>108</v>
      </c>
      <c r="CH8" s="15"/>
      <c r="CI8" s="15"/>
      <c r="CJ8" s="15" t="s">
        <v>107</v>
      </c>
      <c r="CK8" s="15" t="s">
        <v>108</v>
      </c>
      <c r="CL8" s="15"/>
      <c r="CM8" s="15"/>
      <c r="CN8" s="15" t="s">
        <v>107</v>
      </c>
      <c r="CO8" s="15" t="s">
        <v>108</v>
      </c>
      <c r="CP8" s="15"/>
      <c r="CQ8" s="15"/>
      <c r="CR8" s="15" t="s">
        <v>107</v>
      </c>
      <c r="CS8" s="15" t="s">
        <v>108</v>
      </c>
      <c r="CT8" s="15"/>
      <c r="CU8" s="15"/>
      <c r="CV8" s="15" t="s">
        <v>107</v>
      </c>
      <c r="CW8" s="15" t="s">
        <v>108</v>
      </c>
      <c r="CX8" s="15"/>
      <c r="CY8" s="15"/>
      <c r="CZ8" s="15" t="s">
        <v>107</v>
      </c>
      <c r="DA8" s="15" t="s">
        <v>108</v>
      </c>
      <c r="DB8" s="15"/>
      <c r="DC8" s="15"/>
      <c r="DD8" s="15" t="s">
        <v>107</v>
      </c>
      <c r="DE8" s="15" t="s">
        <v>108</v>
      </c>
      <c r="DF8" s="15"/>
      <c r="DG8" s="15"/>
      <c r="DH8" s="15" t="s">
        <v>107</v>
      </c>
      <c r="DI8" s="15" t="s">
        <v>108</v>
      </c>
      <c r="DJ8" s="15"/>
      <c r="DK8" s="15"/>
      <c r="DL8" s="15" t="s">
        <v>107</v>
      </c>
      <c r="DM8" s="15" t="s">
        <v>108</v>
      </c>
      <c r="DN8" s="15"/>
      <c r="DO8" s="15"/>
      <c r="DP8" s="15" t="s">
        <v>107</v>
      </c>
      <c r="DQ8" s="15" t="s">
        <v>108</v>
      </c>
      <c r="DR8" s="15"/>
      <c r="DS8" s="15"/>
      <c r="DT8" s="15" t="s">
        <v>107</v>
      </c>
      <c r="DU8" s="15" t="s">
        <v>108</v>
      </c>
      <c r="DV8" s="15"/>
      <c r="DW8" s="15"/>
      <c r="DX8" s="15" t="s">
        <v>107</v>
      </c>
      <c r="DY8" s="15" t="s">
        <v>108</v>
      </c>
      <c r="DZ8" s="15"/>
      <c r="EA8" s="15"/>
    </row>
    <row r="9" spans="1:137" ht="18.600000000000001" customHeight="1" thickTop="1" thickBot="1" x14ac:dyDescent="0.35">
      <c r="A9" s="38" t="s">
        <v>110</v>
      </c>
      <c r="B9" s="39">
        <v>2016</v>
      </c>
      <c r="C9" s="39">
        <v>14527076</v>
      </c>
      <c r="D9" s="39">
        <v>606</v>
      </c>
      <c r="E9" s="18">
        <f t="shared" si="0"/>
        <v>4.1715208208451582</v>
      </c>
      <c r="F9" s="19">
        <f t="shared" si="1"/>
        <v>1.428280674560567</v>
      </c>
      <c r="G9" s="40" t="s">
        <v>111</v>
      </c>
      <c r="H9" s="21">
        <f>(EXP(G9)-1)*100</f>
        <v>13.814529124274433</v>
      </c>
      <c r="I9" s="41">
        <v>5.9999999999999995E-4</v>
      </c>
      <c r="J9" s="39">
        <v>7436202</v>
      </c>
      <c r="K9" s="39">
        <v>376</v>
      </c>
      <c r="L9" s="18">
        <f t="shared" si="2"/>
        <v>5.0563446232364315</v>
      </c>
      <c r="M9" s="19">
        <f t="shared" si="3"/>
        <v>1.6206438157630672</v>
      </c>
      <c r="N9" s="40">
        <v>0.1326</v>
      </c>
      <c r="O9" s="21">
        <f>(EXP(N9)-1)*100</f>
        <v>14.179318969937892</v>
      </c>
      <c r="P9" s="41" t="s">
        <v>112</v>
      </c>
      <c r="Q9" s="39">
        <v>7090874</v>
      </c>
      <c r="R9" s="39">
        <v>230</v>
      </c>
      <c r="S9" s="18">
        <f t="shared" si="4"/>
        <v>3.2436057952799615</v>
      </c>
      <c r="T9" s="19">
        <f t="shared" si="5"/>
        <v>1.1766856107681223</v>
      </c>
      <c r="U9" s="40">
        <v>0.1234</v>
      </c>
      <c r="V9" s="21">
        <f>(EXP(U9)-1)*100</f>
        <v>13.133686519868593</v>
      </c>
      <c r="W9" s="42">
        <v>7.1999999999999998E-3</v>
      </c>
      <c r="X9" s="28" t="s">
        <v>113</v>
      </c>
      <c r="Y9" s="29" t="s">
        <v>114</v>
      </c>
      <c r="Z9" s="37" t="s">
        <v>115</v>
      </c>
      <c r="AA9" s="31"/>
      <c r="AB9" s="28" t="s">
        <v>113</v>
      </c>
      <c r="AC9" s="29" t="s">
        <v>114</v>
      </c>
      <c r="AD9" s="30"/>
      <c r="AE9" s="31"/>
      <c r="AF9" s="28" t="s">
        <v>113</v>
      </c>
      <c r="AG9" s="29" t="s">
        <v>114</v>
      </c>
      <c r="AH9" s="30"/>
      <c r="AI9" s="31"/>
      <c r="AJ9" s="30" t="s">
        <v>113</v>
      </c>
      <c r="AK9" s="31" t="s">
        <v>114</v>
      </c>
      <c r="AL9" s="28"/>
      <c r="AM9" s="29"/>
      <c r="AN9" s="30" t="s">
        <v>113</v>
      </c>
      <c r="AO9" s="31" t="s">
        <v>114</v>
      </c>
      <c r="AP9" s="28"/>
      <c r="AQ9" s="29"/>
      <c r="AR9" s="30" t="s">
        <v>113</v>
      </c>
      <c r="AS9" s="31" t="s">
        <v>114</v>
      </c>
      <c r="AT9" s="15"/>
      <c r="AU9" s="32"/>
      <c r="AV9" s="15" t="s">
        <v>113</v>
      </c>
      <c r="AW9" s="15" t="s">
        <v>114</v>
      </c>
      <c r="AX9" s="15"/>
      <c r="AY9" s="15"/>
      <c r="AZ9" s="15" t="s">
        <v>113</v>
      </c>
      <c r="BA9" s="15" t="s">
        <v>114</v>
      </c>
      <c r="BB9" s="15"/>
      <c r="BC9" s="15"/>
      <c r="BD9" s="15" t="s">
        <v>113</v>
      </c>
      <c r="BE9" s="15" t="s">
        <v>114</v>
      </c>
      <c r="BF9" s="15"/>
      <c r="BG9" s="15"/>
      <c r="BH9" s="15" t="s">
        <v>113</v>
      </c>
      <c r="BI9" s="15" t="s">
        <v>114</v>
      </c>
      <c r="BJ9" s="15"/>
      <c r="BK9" s="15"/>
      <c r="BL9" s="15" t="s">
        <v>113</v>
      </c>
      <c r="BM9" s="15" t="s">
        <v>114</v>
      </c>
      <c r="BN9" s="15"/>
      <c r="BO9" s="15"/>
      <c r="BP9" s="15" t="s">
        <v>113</v>
      </c>
      <c r="BQ9" s="15" t="s">
        <v>114</v>
      </c>
      <c r="BR9" s="15"/>
      <c r="BS9" s="15"/>
      <c r="BT9" s="15" t="s">
        <v>113</v>
      </c>
      <c r="BU9" s="15" t="s">
        <v>114</v>
      </c>
      <c r="BV9" s="15"/>
      <c r="BW9" s="15"/>
      <c r="BX9" s="15" t="s">
        <v>113</v>
      </c>
      <c r="BY9" s="15" t="s">
        <v>114</v>
      </c>
      <c r="BZ9" s="15"/>
      <c r="CA9" s="15"/>
      <c r="CB9" s="15" t="s">
        <v>113</v>
      </c>
      <c r="CC9" s="15" t="s">
        <v>114</v>
      </c>
      <c r="CD9" s="15"/>
      <c r="CE9" s="15"/>
      <c r="CF9" s="15" t="s">
        <v>113</v>
      </c>
      <c r="CG9" s="15" t="s">
        <v>114</v>
      </c>
      <c r="CH9" s="15"/>
      <c r="CI9" s="15"/>
      <c r="CJ9" s="15" t="s">
        <v>113</v>
      </c>
      <c r="CK9" s="15" t="s">
        <v>114</v>
      </c>
      <c r="CL9" s="15"/>
      <c r="CM9" s="15"/>
      <c r="CN9" s="15" t="s">
        <v>113</v>
      </c>
      <c r="CO9" s="15" t="s">
        <v>114</v>
      </c>
      <c r="CP9" s="15"/>
      <c r="CQ9" s="15"/>
      <c r="CR9" s="15" t="s">
        <v>113</v>
      </c>
      <c r="CS9" s="15" t="s">
        <v>114</v>
      </c>
      <c r="CT9" s="15"/>
      <c r="CU9" s="15"/>
      <c r="CV9" s="15" t="s">
        <v>113</v>
      </c>
      <c r="CW9" s="15" t="s">
        <v>114</v>
      </c>
      <c r="CX9" s="15"/>
      <c r="CY9" s="15"/>
      <c r="CZ9" s="15" t="s">
        <v>113</v>
      </c>
      <c r="DA9" s="15" t="s">
        <v>114</v>
      </c>
      <c r="DB9" s="15"/>
      <c r="DC9" s="15"/>
      <c r="DD9" s="15" t="s">
        <v>113</v>
      </c>
      <c r="DE9" s="15" t="s">
        <v>114</v>
      </c>
      <c r="DF9" s="15"/>
      <c r="DG9" s="15"/>
      <c r="DH9" s="15" t="s">
        <v>113</v>
      </c>
      <c r="DI9" s="15" t="s">
        <v>114</v>
      </c>
      <c r="DJ9" s="15"/>
      <c r="DK9" s="15"/>
      <c r="DL9" s="15" t="s">
        <v>113</v>
      </c>
      <c r="DM9" s="15" t="s">
        <v>114</v>
      </c>
      <c r="DN9" s="15"/>
      <c r="DO9" s="15"/>
      <c r="DP9" s="15" t="s">
        <v>113</v>
      </c>
      <c r="DQ9" s="15" t="s">
        <v>114</v>
      </c>
      <c r="DR9" s="15"/>
      <c r="DS9" s="15"/>
      <c r="DT9" s="15" t="s">
        <v>113</v>
      </c>
      <c r="DU9" s="15" t="s">
        <v>114</v>
      </c>
      <c r="DV9" s="15"/>
      <c r="DW9" s="15"/>
      <c r="DX9" s="15" t="s">
        <v>113</v>
      </c>
      <c r="DY9" s="15" t="s">
        <v>114</v>
      </c>
      <c r="DZ9" s="15"/>
      <c r="EA9" s="15"/>
    </row>
    <row r="10" spans="1:137" ht="15.6" thickTop="1" thickBot="1" x14ac:dyDescent="0.35">
      <c r="A10" s="43"/>
      <c r="B10" s="39">
        <v>2017</v>
      </c>
      <c r="C10" s="39">
        <v>14578692</v>
      </c>
      <c r="D10" s="39">
        <v>685</v>
      </c>
      <c r="E10" s="18">
        <f t="shared" si="0"/>
        <v>4.6986382591799041</v>
      </c>
      <c r="F10" s="19">
        <f t="shared" si="1"/>
        <v>1.5472727346461801</v>
      </c>
      <c r="G10" s="44"/>
      <c r="H10" s="21"/>
      <c r="I10" s="45"/>
      <c r="J10" s="39">
        <v>7465929</v>
      </c>
      <c r="K10" s="39">
        <v>443</v>
      </c>
      <c r="L10" s="18">
        <f t="shared" si="2"/>
        <v>5.9336219243445791</v>
      </c>
      <c r="M10" s="19">
        <f t="shared" si="3"/>
        <v>1.7806348063815747</v>
      </c>
      <c r="N10" s="44"/>
      <c r="O10" s="21"/>
      <c r="P10" s="45"/>
      <c r="Q10" s="39">
        <v>7112763</v>
      </c>
      <c r="R10" s="39">
        <v>242</v>
      </c>
      <c r="S10" s="18">
        <f t="shared" si="4"/>
        <v>3.4023346482934969</v>
      </c>
      <c r="T10" s="19">
        <f t="shared" si="5"/>
        <v>1.2244618572409296</v>
      </c>
      <c r="U10" s="44"/>
      <c r="V10" s="21"/>
      <c r="W10" s="46"/>
      <c r="X10" s="28" t="s">
        <v>116</v>
      </c>
      <c r="Y10" s="29">
        <v>3.5</v>
      </c>
      <c r="Z10" s="30"/>
      <c r="AA10" s="31"/>
      <c r="AB10" s="28" t="s">
        <v>116</v>
      </c>
      <c r="AC10" s="29">
        <v>3.5</v>
      </c>
      <c r="AD10" s="30"/>
      <c r="AE10" s="31"/>
      <c r="AF10" s="28" t="s">
        <v>116</v>
      </c>
      <c r="AG10" s="29">
        <v>3.5</v>
      </c>
      <c r="AH10" s="30"/>
      <c r="AI10" s="31"/>
      <c r="AJ10" s="30" t="s">
        <v>116</v>
      </c>
      <c r="AK10" s="31">
        <v>3.5</v>
      </c>
      <c r="AL10" s="28"/>
      <c r="AM10" s="29"/>
      <c r="AN10" s="30" t="s">
        <v>116</v>
      </c>
      <c r="AO10" s="31">
        <v>3.5</v>
      </c>
      <c r="AP10" s="28"/>
      <c r="AQ10" s="29"/>
      <c r="AR10" s="30" t="s">
        <v>116</v>
      </c>
      <c r="AS10" s="31">
        <v>3.5</v>
      </c>
      <c r="AT10" s="15"/>
      <c r="AU10" s="32"/>
      <c r="AV10" s="15" t="s">
        <v>116</v>
      </c>
      <c r="AW10" s="15">
        <v>3.5</v>
      </c>
      <c r="AX10" s="15"/>
      <c r="AY10" s="15"/>
      <c r="AZ10" s="15" t="s">
        <v>116</v>
      </c>
      <c r="BA10" s="15">
        <v>3.5</v>
      </c>
      <c r="BB10" s="15"/>
      <c r="BC10" s="15"/>
      <c r="BD10" s="15" t="s">
        <v>116</v>
      </c>
      <c r="BE10" s="15">
        <v>3.5</v>
      </c>
      <c r="BF10" s="15"/>
      <c r="BG10" s="15"/>
      <c r="BH10" s="15" t="s">
        <v>116</v>
      </c>
      <c r="BI10" s="15">
        <v>3.5</v>
      </c>
      <c r="BJ10" s="15"/>
      <c r="BK10" s="15"/>
      <c r="BL10" s="15" t="s">
        <v>116</v>
      </c>
      <c r="BM10" s="15">
        <v>3.5</v>
      </c>
      <c r="BN10" s="15"/>
      <c r="BO10" s="15"/>
      <c r="BP10" s="15" t="s">
        <v>116</v>
      </c>
      <c r="BQ10" s="15">
        <v>3.5</v>
      </c>
      <c r="BR10" s="15"/>
      <c r="BS10" s="15"/>
      <c r="BT10" s="15" t="s">
        <v>116</v>
      </c>
      <c r="BU10" s="15">
        <v>3.5</v>
      </c>
      <c r="BV10" s="15"/>
      <c r="BW10" s="15"/>
      <c r="BX10" s="15" t="s">
        <v>116</v>
      </c>
      <c r="BY10" s="15">
        <v>3.5</v>
      </c>
      <c r="BZ10" s="15"/>
      <c r="CA10" s="15"/>
      <c r="CB10" s="15" t="s">
        <v>116</v>
      </c>
      <c r="CC10" s="15">
        <v>3.5</v>
      </c>
      <c r="CD10" s="15"/>
      <c r="CE10" s="15"/>
      <c r="CF10" s="15" t="s">
        <v>116</v>
      </c>
      <c r="CG10" s="15">
        <v>3.5</v>
      </c>
      <c r="CH10" s="15"/>
      <c r="CI10" s="15"/>
      <c r="CJ10" s="15" t="s">
        <v>116</v>
      </c>
      <c r="CK10" s="15">
        <v>3.5</v>
      </c>
      <c r="CL10" s="15"/>
      <c r="CM10" s="15"/>
      <c r="CN10" s="15" t="s">
        <v>116</v>
      </c>
      <c r="CO10" s="15">
        <v>3.5</v>
      </c>
      <c r="CP10" s="15"/>
      <c r="CQ10" s="15"/>
      <c r="CR10" s="15" t="s">
        <v>116</v>
      </c>
      <c r="CS10" s="15">
        <v>3.5</v>
      </c>
      <c r="CT10" s="15"/>
      <c r="CU10" s="15"/>
      <c r="CV10" s="15" t="s">
        <v>116</v>
      </c>
      <c r="CW10" s="15">
        <v>3.5</v>
      </c>
      <c r="CX10" s="15"/>
      <c r="CY10" s="15"/>
      <c r="CZ10" s="15" t="s">
        <v>116</v>
      </c>
      <c r="DA10" s="15">
        <v>3.5</v>
      </c>
      <c r="DB10" s="15"/>
      <c r="DC10" s="15"/>
      <c r="DD10" s="15" t="s">
        <v>116</v>
      </c>
      <c r="DE10" s="15" t="s">
        <v>117</v>
      </c>
      <c r="DF10" s="15"/>
      <c r="DG10" s="15"/>
      <c r="DH10" s="15" t="s">
        <v>116</v>
      </c>
      <c r="DI10" s="15" t="s">
        <v>117</v>
      </c>
      <c r="DJ10" s="15"/>
      <c r="DK10" s="15"/>
      <c r="DL10" s="15" t="s">
        <v>116</v>
      </c>
      <c r="DM10" s="15" t="s">
        <v>117</v>
      </c>
      <c r="DN10" s="15"/>
      <c r="DO10" s="15"/>
      <c r="DP10" s="15" t="s">
        <v>116</v>
      </c>
      <c r="DQ10" s="15" t="s">
        <v>117</v>
      </c>
      <c r="DR10" s="15"/>
      <c r="DS10" s="15"/>
      <c r="DT10" s="15" t="s">
        <v>116</v>
      </c>
      <c r="DU10" s="15" t="s">
        <v>117</v>
      </c>
      <c r="DV10" s="15"/>
      <c r="DW10" s="15"/>
      <c r="DX10" s="15" t="s">
        <v>116</v>
      </c>
      <c r="DY10" s="15" t="s">
        <v>117</v>
      </c>
      <c r="DZ10" s="15"/>
      <c r="EA10" s="15"/>
    </row>
    <row r="11" spans="1:137" ht="15.6" thickTop="1" thickBot="1" x14ac:dyDescent="0.35">
      <c r="A11" s="43"/>
      <c r="B11" s="39">
        <v>2018</v>
      </c>
      <c r="C11" s="39">
        <v>14632652</v>
      </c>
      <c r="D11" s="39">
        <v>780</v>
      </c>
      <c r="E11" s="18">
        <f t="shared" si="0"/>
        <v>5.3305443196489604</v>
      </c>
      <c r="F11" s="19">
        <f>LN(E11)</f>
        <v>1.6734533567250078</v>
      </c>
      <c r="G11" s="44"/>
      <c r="H11" s="21"/>
      <c r="I11" s="45"/>
      <c r="J11" s="39">
        <v>7496331</v>
      </c>
      <c r="K11" s="39">
        <v>494</v>
      </c>
      <c r="L11" s="18">
        <f t="shared" si="2"/>
        <v>6.5898904410704384</v>
      </c>
      <c r="M11" s="19">
        <f t="shared" si="3"/>
        <v>1.885536723348971</v>
      </c>
      <c r="N11" s="44"/>
      <c r="O11" s="21"/>
      <c r="P11" s="45"/>
      <c r="Q11" s="39">
        <v>7136321</v>
      </c>
      <c r="R11" s="39">
        <v>286</v>
      </c>
      <c r="S11" s="18">
        <f t="shared" si="4"/>
        <v>4.0076672559992748</v>
      </c>
      <c r="T11" s="19">
        <f t="shared" si="5"/>
        <v>1.3882093403759552</v>
      </c>
      <c r="U11" s="44"/>
      <c r="V11" s="21"/>
      <c r="W11" s="46"/>
      <c r="X11" s="28" t="s">
        <v>118</v>
      </c>
      <c r="Y11" s="29">
        <v>1.6167</v>
      </c>
      <c r="Z11" s="30"/>
      <c r="AA11" s="31"/>
      <c r="AB11" s="28" t="s">
        <v>118</v>
      </c>
      <c r="AC11" s="29">
        <v>1.8683000000000001</v>
      </c>
      <c r="AD11" s="30"/>
      <c r="AE11" s="31"/>
      <c r="AF11" s="28" t="s">
        <v>118</v>
      </c>
      <c r="AG11" s="29">
        <v>1.3516999999999999</v>
      </c>
      <c r="AH11" s="30"/>
      <c r="AI11" s="31"/>
      <c r="AJ11" s="30" t="s">
        <v>118</v>
      </c>
      <c r="AK11" s="31">
        <v>1.7617</v>
      </c>
      <c r="AL11" s="28"/>
      <c r="AM11" s="29"/>
      <c r="AN11" s="30" t="s">
        <v>118</v>
      </c>
      <c r="AO11" s="31">
        <v>1.97</v>
      </c>
      <c r="AP11" s="28"/>
      <c r="AQ11" s="29"/>
      <c r="AR11" s="30" t="s">
        <v>118</v>
      </c>
      <c r="AS11" s="31">
        <v>1.48</v>
      </c>
      <c r="AT11" s="15"/>
      <c r="AU11" s="32"/>
      <c r="AV11" s="15" t="s">
        <v>118</v>
      </c>
      <c r="AW11" s="15">
        <v>2.2982999999999998</v>
      </c>
      <c r="AX11" s="15"/>
      <c r="AY11" s="15"/>
      <c r="AZ11" s="15" t="s">
        <v>118</v>
      </c>
      <c r="BA11" s="15">
        <v>2.5449999999999999</v>
      </c>
      <c r="BB11" s="15"/>
      <c r="BC11" s="15"/>
      <c r="BD11" s="15" t="s">
        <v>118</v>
      </c>
      <c r="BE11" s="15">
        <v>1.9433</v>
      </c>
      <c r="BF11" s="15"/>
      <c r="BG11" s="15"/>
      <c r="BH11" s="15" t="s">
        <v>118</v>
      </c>
      <c r="BI11" s="15">
        <v>1.2</v>
      </c>
      <c r="BJ11" s="15"/>
      <c r="BK11" s="15"/>
      <c r="BL11" s="15" t="s">
        <v>118</v>
      </c>
      <c r="BM11" s="15">
        <v>1.34</v>
      </c>
      <c r="BN11" s="15"/>
      <c r="BO11" s="15"/>
      <c r="BP11" s="15" t="s">
        <v>118</v>
      </c>
      <c r="BQ11" s="15">
        <v>1.0233000000000001</v>
      </c>
      <c r="BR11" s="15"/>
      <c r="BS11" s="15"/>
      <c r="BT11" s="15" t="s">
        <v>118</v>
      </c>
      <c r="BU11" s="15">
        <v>2.2799999999999998</v>
      </c>
      <c r="BV11" s="15"/>
      <c r="BW11" s="15"/>
      <c r="BX11" s="15" t="s">
        <v>118</v>
      </c>
      <c r="BY11" s="15">
        <v>2.4817</v>
      </c>
      <c r="BZ11" s="15"/>
      <c r="CA11" s="15"/>
      <c r="CB11" s="15" t="s">
        <v>118</v>
      </c>
      <c r="CC11" s="15">
        <v>2.0083000000000002</v>
      </c>
      <c r="CD11" s="15"/>
      <c r="CE11" s="15"/>
      <c r="CF11" s="15" t="s">
        <v>118</v>
      </c>
      <c r="CG11" s="15">
        <v>2.1717</v>
      </c>
      <c r="CH11" s="15"/>
      <c r="CI11" s="15"/>
      <c r="CJ11" s="15" t="s">
        <v>118</v>
      </c>
      <c r="CK11" s="15">
        <v>2.3967000000000001</v>
      </c>
      <c r="CL11" s="15"/>
      <c r="CM11" s="15"/>
      <c r="CN11" s="15" t="s">
        <v>118</v>
      </c>
      <c r="CO11" s="15">
        <v>1.8516999999999999</v>
      </c>
      <c r="CP11" s="15"/>
      <c r="CQ11" s="15"/>
      <c r="CR11" s="15" t="s">
        <v>118</v>
      </c>
      <c r="CS11" s="15">
        <v>1.8083</v>
      </c>
      <c r="CT11" s="15"/>
      <c r="CU11" s="15"/>
      <c r="CV11" s="15" t="s">
        <v>118</v>
      </c>
      <c r="CW11" s="15">
        <v>1.9482999999999999</v>
      </c>
      <c r="CX11" s="15"/>
      <c r="CY11" s="15"/>
      <c r="CZ11" s="15" t="s">
        <v>118</v>
      </c>
      <c r="DA11" s="15">
        <v>1.6367</v>
      </c>
      <c r="DB11" s="15"/>
      <c r="DC11" s="15"/>
      <c r="DD11" s="15" t="s">
        <v>118</v>
      </c>
      <c r="DE11" s="15" t="s">
        <v>119</v>
      </c>
      <c r="DF11" s="15"/>
      <c r="DG11" s="15"/>
      <c r="DH11" s="15" t="s">
        <v>118</v>
      </c>
      <c r="DI11" s="15" t="s">
        <v>120</v>
      </c>
      <c r="DJ11" s="15"/>
      <c r="DK11" s="15"/>
      <c r="DL11" s="15" t="s">
        <v>118</v>
      </c>
      <c r="DM11" s="15" t="s">
        <v>121</v>
      </c>
      <c r="DN11" s="15"/>
      <c r="DO11" s="15"/>
      <c r="DP11" s="15" t="s">
        <v>118</v>
      </c>
      <c r="DQ11" s="15" t="s">
        <v>122</v>
      </c>
      <c r="DR11" s="15"/>
      <c r="DS11" s="15"/>
      <c r="DT11" s="15" t="s">
        <v>118</v>
      </c>
      <c r="DU11" s="15" t="s">
        <v>123</v>
      </c>
      <c r="DV11" s="15"/>
      <c r="DW11" s="15"/>
      <c r="DX11" s="15" t="s">
        <v>118</v>
      </c>
      <c r="DY11" s="15" t="s">
        <v>124</v>
      </c>
      <c r="DZ11" s="15"/>
      <c r="EA11" s="15"/>
    </row>
    <row r="12" spans="1:137" ht="19.95" customHeight="1" thickTop="1" thickBot="1" x14ac:dyDescent="0.35">
      <c r="A12" s="43"/>
      <c r="B12" s="39">
        <v>2019</v>
      </c>
      <c r="C12" s="39">
        <v>14693250</v>
      </c>
      <c r="D12" s="39">
        <v>998</v>
      </c>
      <c r="E12" s="18">
        <f t="shared" si="0"/>
        <v>6.7922345294608073</v>
      </c>
      <c r="F12" s="19">
        <f t="shared" si="1"/>
        <v>1.9157799786633041</v>
      </c>
      <c r="G12" s="44"/>
      <c r="H12" s="21"/>
      <c r="I12" s="45"/>
      <c r="J12" s="39">
        <v>7530241</v>
      </c>
      <c r="K12" s="39">
        <v>612</v>
      </c>
      <c r="L12" s="18">
        <f t="shared" si="2"/>
        <v>8.1272299253104912</v>
      </c>
      <c r="M12" s="19">
        <f t="shared" si="3"/>
        <v>2.0952201429065522</v>
      </c>
      <c r="N12" s="44"/>
      <c r="O12" s="21"/>
      <c r="P12" s="45"/>
      <c r="Q12" s="39">
        <v>7163009</v>
      </c>
      <c r="R12" s="39">
        <v>385</v>
      </c>
      <c r="S12" s="18">
        <f t="shared" si="4"/>
        <v>5.3748361896515835</v>
      </c>
      <c r="T12" s="19">
        <f t="shared" si="5"/>
        <v>1.6817280972054218</v>
      </c>
      <c r="U12" s="44"/>
      <c r="V12" s="21"/>
      <c r="W12" s="46"/>
      <c r="X12" s="28" t="s">
        <v>125</v>
      </c>
      <c r="Y12" s="29">
        <v>0.83599999999999997</v>
      </c>
      <c r="Z12" s="30"/>
      <c r="AA12" s="31"/>
      <c r="AB12" s="28" t="s">
        <v>125</v>
      </c>
      <c r="AC12" s="29">
        <v>0.86019999999999996</v>
      </c>
      <c r="AD12" s="30"/>
      <c r="AE12" s="31"/>
      <c r="AF12" s="28" t="s">
        <v>125</v>
      </c>
      <c r="AG12" s="29">
        <v>0.74180000000000001</v>
      </c>
      <c r="AH12" s="30"/>
      <c r="AI12" s="31"/>
      <c r="AJ12" s="30" t="s">
        <v>125</v>
      </c>
      <c r="AK12" s="31">
        <v>0.96089999999999998</v>
      </c>
      <c r="AL12" s="28"/>
      <c r="AM12" s="29"/>
      <c r="AN12" s="30" t="s">
        <v>125</v>
      </c>
      <c r="AO12" s="31">
        <v>0.98199999999999998</v>
      </c>
      <c r="AP12" s="28"/>
      <c r="AQ12" s="29"/>
      <c r="AR12" s="30" t="s">
        <v>125</v>
      </c>
      <c r="AS12" s="31">
        <v>0.86499999999999999</v>
      </c>
      <c r="AT12" s="15"/>
      <c r="AU12" s="32"/>
      <c r="AV12" s="15" t="s">
        <v>125</v>
      </c>
      <c r="AW12" s="15">
        <v>0.9647</v>
      </c>
      <c r="AX12" s="15"/>
      <c r="AY12" s="15"/>
      <c r="AZ12" s="15" t="s">
        <v>125</v>
      </c>
      <c r="BA12" s="15">
        <v>0.96660000000000001</v>
      </c>
      <c r="BB12" s="15"/>
      <c r="BC12" s="15"/>
      <c r="BD12" s="15" t="s">
        <v>125</v>
      </c>
      <c r="BE12" s="15">
        <v>0.82410000000000005</v>
      </c>
      <c r="BF12" s="15"/>
      <c r="BG12" s="15"/>
      <c r="BH12" s="15" t="s">
        <v>125</v>
      </c>
      <c r="BI12" s="15">
        <v>0.90680000000000005</v>
      </c>
      <c r="BJ12" s="15"/>
      <c r="BK12" s="15"/>
      <c r="BL12" s="15" t="s">
        <v>125</v>
      </c>
      <c r="BM12" s="15">
        <v>0.88829999999999998</v>
      </c>
      <c r="BN12" s="15"/>
      <c r="BO12" s="15"/>
      <c r="BP12" s="15" t="s">
        <v>125</v>
      </c>
      <c r="BQ12" s="15">
        <v>0.73409999999999997</v>
      </c>
      <c r="BR12" s="15"/>
      <c r="BS12" s="15"/>
      <c r="BT12" s="15" t="s">
        <v>125</v>
      </c>
      <c r="BU12" s="15">
        <v>0.81179999999999997</v>
      </c>
      <c r="BV12" s="15"/>
      <c r="BW12" s="15"/>
      <c r="BX12" s="15" t="s">
        <v>125</v>
      </c>
      <c r="BY12" s="15">
        <v>0.66759999999999997</v>
      </c>
      <c r="BZ12" s="15"/>
      <c r="CA12" s="15"/>
      <c r="CB12" s="15" t="s">
        <v>125</v>
      </c>
      <c r="CC12" s="15">
        <v>0.86480000000000001</v>
      </c>
      <c r="CD12" s="15"/>
      <c r="CE12" s="15"/>
      <c r="CF12" s="15" t="s">
        <v>125</v>
      </c>
      <c r="CG12" s="15">
        <v>0.88180000000000003</v>
      </c>
      <c r="CH12" s="15"/>
      <c r="CI12" s="15"/>
      <c r="CJ12" s="15" t="s">
        <v>125</v>
      </c>
      <c r="CK12" s="15">
        <v>0.9133</v>
      </c>
      <c r="CL12" s="15"/>
      <c r="CM12" s="15"/>
      <c r="CN12" s="15" t="s">
        <v>125</v>
      </c>
      <c r="CO12" s="15">
        <v>0.70660000000000001</v>
      </c>
      <c r="CP12" s="15"/>
      <c r="CQ12" s="15"/>
      <c r="CR12" s="15" t="s">
        <v>125</v>
      </c>
      <c r="CS12" s="15">
        <v>0.93059999999999998</v>
      </c>
      <c r="CT12" s="15"/>
      <c r="CU12" s="15"/>
      <c r="CV12" s="15" t="s">
        <v>125</v>
      </c>
      <c r="CW12" s="15">
        <v>0.76990000000000003</v>
      </c>
      <c r="CX12" s="15"/>
      <c r="CY12" s="15"/>
      <c r="CZ12" s="15" t="s">
        <v>125</v>
      </c>
      <c r="DA12" s="15">
        <v>0.86919999999999997</v>
      </c>
      <c r="DB12" s="15"/>
      <c r="DC12" s="15"/>
      <c r="DD12" s="15" t="s">
        <v>125</v>
      </c>
      <c r="DE12" s="15" t="s">
        <v>126</v>
      </c>
      <c r="DF12" s="15"/>
      <c r="DG12" s="15"/>
      <c r="DH12" s="15" t="s">
        <v>125</v>
      </c>
      <c r="DI12" s="15" t="s">
        <v>127</v>
      </c>
      <c r="DJ12" s="15"/>
      <c r="DK12" s="15"/>
      <c r="DL12" s="15" t="s">
        <v>125</v>
      </c>
      <c r="DM12" s="15" t="s">
        <v>128</v>
      </c>
      <c r="DN12" s="15"/>
      <c r="DO12" s="15"/>
      <c r="DP12" s="15" t="s">
        <v>125</v>
      </c>
      <c r="DQ12" s="15" t="s">
        <v>129</v>
      </c>
      <c r="DR12" s="15"/>
      <c r="DS12" s="15"/>
      <c r="DT12" s="15" t="s">
        <v>125</v>
      </c>
      <c r="DU12" s="15" t="s">
        <v>130</v>
      </c>
      <c r="DV12" s="15"/>
      <c r="DW12" s="15"/>
      <c r="DX12" s="15" t="s">
        <v>125</v>
      </c>
      <c r="DY12" s="15" t="s">
        <v>131</v>
      </c>
      <c r="DZ12" s="15"/>
      <c r="EA12" s="15"/>
    </row>
    <row r="13" spans="1:137" ht="21.6" customHeight="1" thickTop="1" thickBot="1" x14ac:dyDescent="0.35">
      <c r="A13" s="43"/>
      <c r="B13" s="39">
        <v>2020</v>
      </c>
      <c r="C13" s="39">
        <v>14748551</v>
      </c>
      <c r="D13" s="39">
        <v>1048</v>
      </c>
      <c r="E13" s="18">
        <f t="shared" si="0"/>
        <v>7.1057827985949258</v>
      </c>
      <c r="F13" s="19">
        <f t="shared" si="1"/>
        <v>1.9609089312148469</v>
      </c>
      <c r="G13" s="44"/>
      <c r="H13" s="21"/>
      <c r="I13" s="45"/>
      <c r="J13" s="39">
        <v>7562472</v>
      </c>
      <c r="K13" s="39">
        <v>642</v>
      </c>
      <c r="L13" s="18">
        <f t="shared" si="2"/>
        <v>8.4892876297591577</v>
      </c>
      <c r="M13" s="19">
        <f t="shared" si="3"/>
        <v>2.1388050898251487</v>
      </c>
      <c r="N13" s="44"/>
      <c r="O13" s="21"/>
      <c r="P13" s="45"/>
      <c r="Q13" s="39">
        <v>7186079</v>
      </c>
      <c r="R13" s="39">
        <v>406</v>
      </c>
      <c r="S13" s="18">
        <f t="shared" si="4"/>
        <v>5.649812644698172</v>
      </c>
      <c r="T13" s="19">
        <f t="shared" si="5"/>
        <v>1.7316223843781249</v>
      </c>
      <c r="U13" s="44"/>
      <c r="V13" s="21"/>
      <c r="W13" s="46"/>
      <c r="X13" s="28" t="s">
        <v>132</v>
      </c>
      <c r="Y13" s="29">
        <v>0.79510000000000003</v>
      </c>
      <c r="Z13" s="30"/>
      <c r="AA13" s="31"/>
      <c r="AB13" s="28" t="s">
        <v>132</v>
      </c>
      <c r="AC13" s="29">
        <v>0.82530000000000003</v>
      </c>
      <c r="AD13" s="30"/>
      <c r="AE13" s="31"/>
      <c r="AF13" s="28" t="s">
        <v>132</v>
      </c>
      <c r="AG13" s="29">
        <v>0.67720000000000002</v>
      </c>
      <c r="AH13" s="30"/>
      <c r="AI13" s="31"/>
      <c r="AJ13" s="30" t="s">
        <v>132</v>
      </c>
      <c r="AK13" s="31">
        <v>0.95109999999999995</v>
      </c>
      <c r="AL13" s="28"/>
      <c r="AM13" s="29"/>
      <c r="AN13" s="30" t="s">
        <v>132</v>
      </c>
      <c r="AO13" s="31">
        <v>0.97750000000000004</v>
      </c>
      <c r="AP13" s="28"/>
      <c r="AQ13" s="29"/>
      <c r="AR13" s="30" t="s">
        <v>132</v>
      </c>
      <c r="AS13" s="31">
        <v>0.83130000000000004</v>
      </c>
      <c r="AT13" s="15"/>
      <c r="AU13" s="32"/>
      <c r="AV13" s="15" t="s">
        <v>132</v>
      </c>
      <c r="AW13" s="15">
        <v>0.95589999999999997</v>
      </c>
      <c r="AX13" s="15"/>
      <c r="AY13" s="15"/>
      <c r="AZ13" s="15" t="s">
        <v>132</v>
      </c>
      <c r="BA13" s="15">
        <v>0.95830000000000004</v>
      </c>
      <c r="BB13" s="15"/>
      <c r="BC13" s="15"/>
      <c r="BD13" s="15" t="s">
        <v>132</v>
      </c>
      <c r="BE13" s="15">
        <v>0.7802</v>
      </c>
      <c r="BF13" s="15"/>
      <c r="BG13" s="15"/>
      <c r="BH13" s="15" t="s">
        <v>132</v>
      </c>
      <c r="BI13" s="15">
        <v>0.88349999999999995</v>
      </c>
      <c r="BJ13" s="15"/>
      <c r="BK13" s="15"/>
      <c r="BL13" s="15" t="s">
        <v>132</v>
      </c>
      <c r="BM13" s="15">
        <v>0.86029999999999995</v>
      </c>
      <c r="BN13" s="15"/>
      <c r="BO13" s="15"/>
      <c r="BP13" s="15" t="s">
        <v>132</v>
      </c>
      <c r="BQ13" s="15">
        <v>0.66759999999999997</v>
      </c>
      <c r="BR13" s="15"/>
      <c r="BS13" s="15"/>
      <c r="BT13" s="15" t="s">
        <v>132</v>
      </c>
      <c r="BU13" s="15">
        <v>0.76470000000000005</v>
      </c>
      <c r="BV13" s="15"/>
      <c r="BW13" s="15"/>
      <c r="BX13" s="15" t="s">
        <v>132</v>
      </c>
      <c r="BY13" s="15">
        <v>0.58450000000000002</v>
      </c>
      <c r="BZ13" s="15"/>
      <c r="CA13" s="15"/>
      <c r="CB13" s="15" t="s">
        <v>132</v>
      </c>
      <c r="CC13" s="15">
        <v>0.83099999999999996</v>
      </c>
      <c r="CD13" s="15"/>
      <c r="CE13" s="15"/>
      <c r="CF13" s="15" t="s">
        <v>132</v>
      </c>
      <c r="CG13" s="15">
        <v>0.85219999999999996</v>
      </c>
      <c r="CH13" s="15"/>
      <c r="CI13" s="15"/>
      <c r="CJ13" s="15" t="s">
        <v>132</v>
      </c>
      <c r="CK13" s="15">
        <v>0.89170000000000005</v>
      </c>
      <c r="CL13" s="15"/>
      <c r="CM13" s="15"/>
      <c r="CN13" s="15" t="s">
        <v>132</v>
      </c>
      <c r="CO13" s="15">
        <v>0.63319999999999999</v>
      </c>
      <c r="CP13" s="15"/>
      <c r="CQ13" s="15"/>
      <c r="CR13" s="15" t="s">
        <v>132</v>
      </c>
      <c r="CS13" s="15">
        <v>0.91320000000000001</v>
      </c>
      <c r="CT13" s="15"/>
      <c r="CU13" s="15"/>
      <c r="CV13" s="15" t="s">
        <v>132</v>
      </c>
      <c r="CW13" s="15">
        <v>0.71230000000000004</v>
      </c>
      <c r="CX13" s="15"/>
      <c r="CY13" s="15"/>
      <c r="CZ13" s="15" t="s">
        <v>132</v>
      </c>
      <c r="DA13" s="15">
        <v>0.83650000000000002</v>
      </c>
      <c r="DB13" s="15"/>
      <c r="DC13" s="15"/>
      <c r="DD13" s="15" t="s">
        <v>132</v>
      </c>
      <c r="DE13" s="15" t="s">
        <v>133</v>
      </c>
      <c r="DF13" s="15"/>
      <c r="DG13" s="15"/>
      <c r="DH13" s="15" t="s">
        <v>132</v>
      </c>
      <c r="DI13" s="15" t="s">
        <v>134</v>
      </c>
      <c r="DJ13" s="15"/>
      <c r="DK13" s="15"/>
      <c r="DL13" s="15" t="s">
        <v>132</v>
      </c>
      <c r="DM13" s="15" t="s">
        <v>135</v>
      </c>
      <c r="DN13" s="15"/>
      <c r="DO13" s="15"/>
      <c r="DP13" s="15" t="s">
        <v>132</v>
      </c>
      <c r="DQ13" s="15" t="s">
        <v>136</v>
      </c>
      <c r="DR13" s="15"/>
      <c r="DS13" s="15"/>
      <c r="DT13" s="15" t="s">
        <v>132</v>
      </c>
      <c r="DU13" s="15" t="s">
        <v>137</v>
      </c>
      <c r="DV13" s="15"/>
      <c r="DW13" s="15"/>
      <c r="DX13" s="15" t="s">
        <v>132</v>
      </c>
      <c r="DY13" s="15" t="s">
        <v>138</v>
      </c>
      <c r="DZ13" s="15"/>
      <c r="EA13" s="15"/>
    </row>
    <row r="14" spans="1:137" ht="18.600000000000001" customHeight="1" thickTop="1" thickBot="1" x14ac:dyDescent="0.35">
      <c r="A14" s="47"/>
      <c r="B14" s="39">
        <v>2021</v>
      </c>
      <c r="C14" s="39">
        <v>14788270</v>
      </c>
      <c r="D14" s="39">
        <v>1134</v>
      </c>
      <c r="E14" s="18">
        <f t="shared" si="0"/>
        <v>7.6682397602965047</v>
      </c>
      <c r="F14" s="19">
        <f t="shared" si="1"/>
        <v>2.0370870923388771</v>
      </c>
      <c r="G14" s="48"/>
      <c r="H14" s="21"/>
      <c r="I14" s="49"/>
      <c r="J14" s="39">
        <v>7587700</v>
      </c>
      <c r="K14" s="39">
        <v>749</v>
      </c>
      <c r="L14" s="18">
        <f t="shared" si="2"/>
        <v>9.8712389788737038</v>
      </c>
      <c r="M14" s="19">
        <f t="shared" si="3"/>
        <v>2.2896253753416254</v>
      </c>
      <c r="N14" s="48"/>
      <c r="O14" s="21"/>
      <c r="P14" s="49"/>
      <c r="Q14" s="39">
        <v>7200570</v>
      </c>
      <c r="R14" s="39">
        <v>385</v>
      </c>
      <c r="S14" s="18">
        <f t="shared" si="4"/>
        <v>5.3467989339732824</v>
      </c>
      <c r="T14" s="19">
        <f t="shared" si="5"/>
        <v>1.6764980517385775</v>
      </c>
      <c r="U14" s="48"/>
      <c r="V14" s="21"/>
      <c r="W14" s="50"/>
      <c r="X14" s="28" t="s">
        <v>139</v>
      </c>
      <c r="Y14" s="29">
        <v>0.91439999999999999</v>
      </c>
      <c r="Z14" s="30"/>
      <c r="AA14" s="31"/>
      <c r="AB14" s="28" t="s">
        <v>139</v>
      </c>
      <c r="AC14" s="29">
        <v>0.92749999999999999</v>
      </c>
      <c r="AD14" s="30"/>
      <c r="AE14" s="31"/>
      <c r="AF14" s="28" t="s">
        <v>139</v>
      </c>
      <c r="AG14" s="29">
        <v>0.86129999999999995</v>
      </c>
      <c r="AH14" s="30"/>
      <c r="AI14" s="31"/>
      <c r="AJ14" s="30" t="s">
        <v>139</v>
      </c>
      <c r="AK14" s="31">
        <v>0.98029999999999995</v>
      </c>
      <c r="AL14" s="28"/>
      <c r="AM14" s="29"/>
      <c r="AN14" s="30" t="s">
        <v>139</v>
      </c>
      <c r="AO14" s="31">
        <v>0.99099999999999999</v>
      </c>
      <c r="AP14" s="28"/>
      <c r="AQ14" s="29"/>
      <c r="AR14" s="30" t="s">
        <v>139</v>
      </c>
      <c r="AS14" s="31">
        <v>0.93010000000000004</v>
      </c>
      <c r="AT14" s="15"/>
      <c r="AU14" s="32"/>
      <c r="AV14" s="15" t="s">
        <v>139</v>
      </c>
      <c r="AW14" s="15">
        <v>0.98219999999999996</v>
      </c>
      <c r="AX14" s="15"/>
      <c r="AY14" s="15"/>
      <c r="AZ14" s="15" t="s">
        <v>139</v>
      </c>
      <c r="BA14" s="15">
        <v>0.98319999999999996</v>
      </c>
      <c r="BB14" s="15"/>
      <c r="BC14" s="15"/>
      <c r="BD14" s="15" t="s">
        <v>139</v>
      </c>
      <c r="BE14" s="15">
        <v>0.90780000000000005</v>
      </c>
      <c r="BF14" s="15"/>
      <c r="BG14" s="15"/>
      <c r="BH14" s="15" t="s">
        <v>139</v>
      </c>
      <c r="BI14" s="15">
        <v>0.95230000000000004</v>
      </c>
      <c r="BJ14" s="15"/>
      <c r="BK14" s="15"/>
      <c r="BL14" s="15" t="s">
        <v>139</v>
      </c>
      <c r="BM14" s="15">
        <v>0.9425</v>
      </c>
      <c r="BN14" s="15"/>
      <c r="BO14" s="15"/>
      <c r="BP14" s="15" t="s">
        <v>139</v>
      </c>
      <c r="BQ14" s="15">
        <v>0.85680000000000001</v>
      </c>
      <c r="BR14" s="15"/>
      <c r="BS14" s="15"/>
      <c r="BT14" s="15" t="s">
        <v>139</v>
      </c>
      <c r="BU14" s="15">
        <v>0.90100000000000002</v>
      </c>
      <c r="BV14" s="15"/>
      <c r="BW14" s="15"/>
      <c r="BX14" s="15" t="s">
        <v>139</v>
      </c>
      <c r="BY14" s="15">
        <v>0.81710000000000005</v>
      </c>
      <c r="BZ14" s="15"/>
      <c r="CA14" s="15"/>
      <c r="CB14" s="15" t="s">
        <v>139</v>
      </c>
      <c r="CC14" s="15">
        <v>0.92989999999999995</v>
      </c>
      <c r="CD14" s="15"/>
      <c r="CE14" s="15"/>
      <c r="CF14" s="15" t="s">
        <v>139</v>
      </c>
      <c r="CG14" s="15">
        <v>0.93899999999999995</v>
      </c>
      <c r="CH14" s="15"/>
      <c r="CI14" s="15"/>
      <c r="CJ14" s="15" t="s">
        <v>139</v>
      </c>
      <c r="CK14" s="15">
        <v>0.95569999999999999</v>
      </c>
      <c r="CL14" s="15"/>
      <c r="CM14" s="15"/>
      <c r="CN14" s="15" t="s">
        <v>139</v>
      </c>
      <c r="CO14" s="15">
        <v>0.84060000000000001</v>
      </c>
      <c r="CP14" s="15"/>
      <c r="CQ14" s="15"/>
      <c r="CR14" s="15" t="s">
        <v>139</v>
      </c>
      <c r="CS14" s="15">
        <v>0.9647</v>
      </c>
      <c r="CT14" s="15"/>
      <c r="CU14" s="15"/>
      <c r="CV14" s="15" t="s">
        <v>139</v>
      </c>
      <c r="CW14" s="15">
        <v>0.87739999999999996</v>
      </c>
      <c r="CX14" s="15"/>
      <c r="CY14" s="15"/>
      <c r="CZ14" s="15" t="s">
        <v>139</v>
      </c>
      <c r="DA14" s="15">
        <v>0.93230000000000002</v>
      </c>
      <c r="DB14" s="15"/>
      <c r="DC14" s="15"/>
      <c r="DD14" s="15" t="s">
        <v>139</v>
      </c>
      <c r="DE14" s="15" t="s">
        <v>140</v>
      </c>
      <c r="DF14" s="15"/>
      <c r="DG14" s="15"/>
      <c r="DH14" s="15" t="s">
        <v>139</v>
      </c>
      <c r="DI14" s="15" t="s">
        <v>141</v>
      </c>
      <c r="DJ14" s="15"/>
      <c r="DK14" s="15"/>
      <c r="DL14" s="15" t="s">
        <v>139</v>
      </c>
      <c r="DM14" s="15" t="s">
        <v>142</v>
      </c>
      <c r="DN14" s="15"/>
      <c r="DO14" s="15"/>
      <c r="DP14" s="15" t="s">
        <v>139</v>
      </c>
      <c r="DQ14" s="15" t="s">
        <v>143</v>
      </c>
      <c r="DR14" s="15"/>
      <c r="DS14" s="15"/>
      <c r="DT14" s="15" t="s">
        <v>139</v>
      </c>
      <c r="DU14" s="15" t="s">
        <v>144</v>
      </c>
      <c r="DV14" s="15"/>
      <c r="DW14" s="15"/>
      <c r="DX14" s="15" t="s">
        <v>139</v>
      </c>
      <c r="DY14" s="15" t="s">
        <v>145</v>
      </c>
      <c r="DZ14" s="15"/>
      <c r="EA14" s="15"/>
    </row>
    <row r="15" spans="1:137" ht="15" customHeight="1" thickTop="1" thickBot="1" x14ac:dyDescent="0.35">
      <c r="A15" s="16" t="s">
        <v>146</v>
      </c>
      <c r="B15" s="17">
        <v>2016</v>
      </c>
      <c r="C15" s="17">
        <v>8873158</v>
      </c>
      <c r="D15" s="17">
        <v>684</v>
      </c>
      <c r="E15" s="18">
        <f t="shared" si="0"/>
        <v>7.7086421767762952</v>
      </c>
      <c r="F15" s="19">
        <f t="shared" si="1"/>
        <v>2.0423420601041355</v>
      </c>
      <c r="G15" s="20">
        <v>9.4E-2</v>
      </c>
      <c r="H15" s="21">
        <f>(EXP(G15)-1)*100</f>
        <v>9.8559745917173647</v>
      </c>
      <c r="I15" s="22" t="s">
        <v>112</v>
      </c>
      <c r="J15" s="17">
        <v>4558855</v>
      </c>
      <c r="K15" s="17">
        <v>463</v>
      </c>
      <c r="L15" s="18">
        <f t="shared" si="2"/>
        <v>10.156058922690018</v>
      </c>
      <c r="M15" s="19">
        <f t="shared" si="3"/>
        <v>2.318070465587124</v>
      </c>
      <c r="N15" s="20">
        <v>9.9099999999999994E-2</v>
      </c>
      <c r="O15" s="21">
        <f>(EXP(N15)-1)*100</f>
        <v>10.417671170935328</v>
      </c>
      <c r="P15" s="22" t="s">
        <v>112</v>
      </c>
      <c r="Q15" s="17">
        <v>4314303</v>
      </c>
      <c r="R15" s="17">
        <v>221</v>
      </c>
      <c r="S15" s="18">
        <f t="shared" si="4"/>
        <v>5.122496032383447</v>
      </c>
      <c r="T15" s="19">
        <f t="shared" si="5"/>
        <v>1.6336418265837065</v>
      </c>
      <c r="U15" s="20">
        <v>8.5099999999999995E-2</v>
      </c>
      <c r="V15" s="21">
        <f>(EXP(U15)-1)*100</f>
        <v>8.8825943848835252</v>
      </c>
      <c r="W15" s="23">
        <v>1.23E-2</v>
      </c>
      <c r="X15" s="28" t="s">
        <v>147</v>
      </c>
      <c r="Y15" s="29">
        <v>1.2686999999999999</v>
      </c>
      <c r="Z15" s="30" t="s">
        <v>148</v>
      </c>
      <c r="AA15" s="31" t="s">
        <v>149</v>
      </c>
      <c r="AB15" s="28" t="s">
        <v>147</v>
      </c>
      <c r="AC15" s="29">
        <v>1.3613</v>
      </c>
      <c r="AD15" s="30" t="s">
        <v>150</v>
      </c>
      <c r="AE15" s="31" t="s">
        <v>149</v>
      </c>
      <c r="AF15" s="28" t="s">
        <v>147</v>
      </c>
      <c r="AG15" s="29">
        <v>0.98070000000000002</v>
      </c>
      <c r="AH15" s="30" t="s">
        <v>151</v>
      </c>
      <c r="AI15" s="31" t="s">
        <v>82</v>
      </c>
      <c r="AJ15" s="30" t="s">
        <v>147</v>
      </c>
      <c r="AK15" s="31">
        <v>1.3087</v>
      </c>
      <c r="AL15" s="28" t="s">
        <v>152</v>
      </c>
      <c r="AM15" s="29" t="s">
        <v>149</v>
      </c>
      <c r="AN15" s="30" t="s">
        <v>147</v>
      </c>
      <c r="AO15" s="31">
        <v>1.506</v>
      </c>
      <c r="AP15" s="28" t="s">
        <v>153</v>
      </c>
      <c r="AQ15" s="29" t="s">
        <v>149</v>
      </c>
      <c r="AR15" s="30" t="s">
        <v>147</v>
      </c>
      <c r="AS15" s="31">
        <v>1.048</v>
      </c>
      <c r="AT15" s="15" t="s">
        <v>154</v>
      </c>
      <c r="AU15" s="32" t="s">
        <v>149</v>
      </c>
      <c r="AV15" s="15" t="s">
        <v>147</v>
      </c>
      <c r="AW15" s="15">
        <v>1.9693000000000001</v>
      </c>
      <c r="AX15" s="15" t="s">
        <v>155</v>
      </c>
      <c r="AY15" s="15" t="s">
        <v>149</v>
      </c>
      <c r="AZ15" s="15" t="s">
        <v>147</v>
      </c>
      <c r="BA15" s="15">
        <v>2.198</v>
      </c>
      <c r="BB15" s="15" t="s">
        <v>156</v>
      </c>
      <c r="BC15" s="15" t="s">
        <v>149</v>
      </c>
      <c r="BD15" s="15" t="s">
        <v>147</v>
      </c>
      <c r="BE15" s="15">
        <v>1.6453</v>
      </c>
      <c r="BF15" s="15" t="s">
        <v>157</v>
      </c>
      <c r="BG15" s="15" t="s">
        <v>149</v>
      </c>
      <c r="BH15" s="15" t="s">
        <v>147</v>
      </c>
      <c r="BI15" s="15">
        <v>0.84799999999999998</v>
      </c>
      <c r="BJ15" s="15" t="s">
        <v>158</v>
      </c>
      <c r="BK15" s="15" t="s">
        <v>149</v>
      </c>
      <c r="BL15" s="15" t="s">
        <v>147</v>
      </c>
      <c r="BM15" s="15">
        <v>0.96199999999999997</v>
      </c>
      <c r="BN15" s="15" t="s">
        <v>159</v>
      </c>
      <c r="BO15" s="15" t="s">
        <v>149</v>
      </c>
      <c r="BP15" s="15" t="s">
        <v>147</v>
      </c>
      <c r="BQ15" s="15">
        <v>0.70730000000000004</v>
      </c>
      <c r="BR15" s="15" t="s">
        <v>160</v>
      </c>
      <c r="BS15" s="15" t="s">
        <v>161</v>
      </c>
      <c r="BT15" s="15" t="s">
        <v>147</v>
      </c>
      <c r="BU15" s="15">
        <v>2.0179999999999998</v>
      </c>
      <c r="BV15" s="15" t="s">
        <v>162</v>
      </c>
      <c r="BW15" s="15" t="s">
        <v>149</v>
      </c>
      <c r="BX15" s="15" t="s">
        <v>147</v>
      </c>
      <c r="BY15" s="15">
        <v>2.2406999999999999</v>
      </c>
      <c r="BZ15" s="15" t="s">
        <v>163</v>
      </c>
      <c r="CA15" s="15" t="s">
        <v>149</v>
      </c>
      <c r="CB15" s="15" t="s">
        <v>147</v>
      </c>
      <c r="CC15" s="15">
        <v>1.7093</v>
      </c>
      <c r="CD15" s="15" t="s">
        <v>164</v>
      </c>
      <c r="CE15" s="15" t="s">
        <v>149</v>
      </c>
      <c r="CF15" s="15" t="s">
        <v>147</v>
      </c>
      <c r="CG15" s="15">
        <v>1.8787</v>
      </c>
      <c r="CH15" s="15" t="s">
        <v>165</v>
      </c>
      <c r="CI15" s="15" t="s">
        <v>149</v>
      </c>
      <c r="CJ15" s="15" t="s">
        <v>147</v>
      </c>
      <c r="CK15" s="15">
        <v>2.0667</v>
      </c>
      <c r="CL15" s="15" t="s">
        <v>166</v>
      </c>
      <c r="CM15" s="15" t="s">
        <v>149</v>
      </c>
      <c r="CN15" s="15" t="s">
        <v>147</v>
      </c>
      <c r="CO15" s="15">
        <v>1.6207</v>
      </c>
      <c r="CP15" s="15" t="s">
        <v>167</v>
      </c>
      <c r="CQ15" s="15" t="s">
        <v>149</v>
      </c>
      <c r="CR15" s="15" t="s">
        <v>147</v>
      </c>
      <c r="CS15" s="15">
        <v>1.4733000000000001</v>
      </c>
      <c r="CT15" s="15" t="s">
        <v>168</v>
      </c>
      <c r="CU15" s="15" t="s">
        <v>149</v>
      </c>
      <c r="CV15" s="15" t="s">
        <v>147</v>
      </c>
      <c r="CW15" s="15">
        <v>1.6533</v>
      </c>
      <c r="CX15" s="15" t="s">
        <v>169</v>
      </c>
      <c r="CY15" s="15" t="s">
        <v>149</v>
      </c>
      <c r="CZ15" s="15" t="s">
        <v>147</v>
      </c>
      <c r="DA15" s="15">
        <v>1.2406999999999999</v>
      </c>
      <c r="DB15" s="15" t="s">
        <v>170</v>
      </c>
      <c r="DC15" s="15" t="s">
        <v>149</v>
      </c>
      <c r="DD15" s="15" t="s">
        <v>147</v>
      </c>
      <c r="DE15" s="15" t="s">
        <v>171</v>
      </c>
      <c r="DF15" s="15" t="s">
        <v>172</v>
      </c>
      <c r="DG15" s="15" t="s">
        <v>149</v>
      </c>
      <c r="DH15" s="15" t="s">
        <v>147</v>
      </c>
      <c r="DI15" s="15" t="s">
        <v>173</v>
      </c>
      <c r="DJ15" s="15" t="s">
        <v>174</v>
      </c>
      <c r="DK15" s="15" t="s">
        <v>149</v>
      </c>
      <c r="DL15" s="15" t="s">
        <v>147</v>
      </c>
      <c r="DM15" s="15" t="s">
        <v>175</v>
      </c>
      <c r="DN15" s="15" t="s">
        <v>176</v>
      </c>
      <c r="DO15" s="15" t="s">
        <v>149</v>
      </c>
      <c r="DP15" s="15" t="s">
        <v>147</v>
      </c>
      <c r="DQ15" s="15" t="s">
        <v>177</v>
      </c>
      <c r="DR15" s="15" t="s">
        <v>178</v>
      </c>
      <c r="DS15" s="15" t="s">
        <v>149</v>
      </c>
      <c r="DT15" s="15" t="s">
        <v>147</v>
      </c>
      <c r="DU15" s="15" t="s">
        <v>179</v>
      </c>
      <c r="DV15" s="15" t="s">
        <v>180</v>
      </c>
      <c r="DW15" s="15" t="s">
        <v>149</v>
      </c>
      <c r="DX15" s="15" t="s">
        <v>147</v>
      </c>
      <c r="DY15" s="15" t="s">
        <v>181</v>
      </c>
      <c r="DZ15" s="15" t="s">
        <v>182</v>
      </c>
      <c r="EA15" s="15" t="s">
        <v>149</v>
      </c>
    </row>
    <row r="16" spans="1:137" ht="15.6" customHeight="1" thickTop="1" thickBot="1" x14ac:dyDescent="0.35">
      <c r="A16" s="24"/>
      <c r="B16" s="17">
        <v>2017</v>
      </c>
      <c r="C16" s="17">
        <v>8924184</v>
      </c>
      <c r="D16" s="17">
        <v>795</v>
      </c>
      <c r="E16" s="18">
        <f t="shared" si="0"/>
        <v>8.9083775054391534</v>
      </c>
      <c r="F16" s="19">
        <f t="shared" si="1"/>
        <v>2.1869921267458587</v>
      </c>
      <c r="G16" s="25"/>
      <c r="H16" s="21"/>
      <c r="I16" s="26"/>
      <c r="J16" s="17">
        <v>4585717</v>
      </c>
      <c r="K16" s="17">
        <v>496</v>
      </c>
      <c r="L16" s="18">
        <f t="shared" si="2"/>
        <v>10.81619297483905</v>
      </c>
      <c r="M16" s="19">
        <f t="shared" si="3"/>
        <v>2.3810443607500886</v>
      </c>
      <c r="N16" s="25"/>
      <c r="O16" s="21"/>
      <c r="P16" s="26"/>
      <c r="Q16" s="17">
        <v>4338467</v>
      </c>
      <c r="R16" s="17">
        <v>299</v>
      </c>
      <c r="S16" s="18">
        <f t="shared" si="4"/>
        <v>6.8918352957392557</v>
      </c>
      <c r="T16" s="19">
        <f t="shared" si="5"/>
        <v>1.9303374204897084</v>
      </c>
      <c r="U16" s="25"/>
      <c r="V16" s="21"/>
      <c r="W16" s="27"/>
      <c r="X16" s="28" t="s">
        <v>183</v>
      </c>
      <c r="Y16" s="29">
        <v>9.9400000000000002E-2</v>
      </c>
      <c r="Z16" s="30" t="s">
        <v>184</v>
      </c>
      <c r="AA16" s="31" t="s">
        <v>185</v>
      </c>
      <c r="AB16" s="28" t="s">
        <v>183</v>
      </c>
      <c r="AC16" s="29">
        <v>0.1449</v>
      </c>
      <c r="AD16" s="30" t="s">
        <v>186</v>
      </c>
      <c r="AE16" s="31" t="s">
        <v>187</v>
      </c>
      <c r="AF16" s="28" t="s">
        <v>183</v>
      </c>
      <c r="AG16" s="29">
        <v>0.106</v>
      </c>
      <c r="AH16" s="30" t="s">
        <v>188</v>
      </c>
      <c r="AI16" s="31" t="s">
        <v>189</v>
      </c>
      <c r="AJ16" s="30" t="s">
        <v>183</v>
      </c>
      <c r="AK16" s="31">
        <v>0.12939999999999999</v>
      </c>
      <c r="AL16" s="28" t="s">
        <v>190</v>
      </c>
      <c r="AM16" s="29" t="s">
        <v>191</v>
      </c>
      <c r="AN16" s="30" t="s">
        <v>183</v>
      </c>
      <c r="AO16" s="31">
        <v>0.1326</v>
      </c>
      <c r="AP16" s="28" t="s">
        <v>192</v>
      </c>
      <c r="AQ16" s="29" t="s">
        <v>149</v>
      </c>
      <c r="AR16" s="30" t="s">
        <v>183</v>
      </c>
      <c r="AS16" s="31">
        <v>0.1234</v>
      </c>
      <c r="AT16" s="15" t="s">
        <v>193</v>
      </c>
      <c r="AU16" s="32" t="s">
        <v>194</v>
      </c>
      <c r="AV16" s="15" t="s">
        <v>183</v>
      </c>
      <c r="AW16" s="15">
        <v>9.4E-2</v>
      </c>
      <c r="AX16" s="15" t="s">
        <v>195</v>
      </c>
      <c r="AY16" s="15" t="s">
        <v>149</v>
      </c>
      <c r="AZ16" s="15" t="s">
        <v>183</v>
      </c>
      <c r="BA16" s="15">
        <v>9.9099999999999994E-2</v>
      </c>
      <c r="BB16" s="15" t="s">
        <v>196</v>
      </c>
      <c r="BC16" s="15" t="s">
        <v>149</v>
      </c>
      <c r="BD16" s="15" t="s">
        <v>183</v>
      </c>
      <c r="BE16" s="15">
        <v>8.5099999999999995E-2</v>
      </c>
      <c r="BF16" s="15" t="s">
        <v>197</v>
      </c>
      <c r="BG16" s="15" t="s">
        <v>198</v>
      </c>
      <c r="BH16" s="15" t="s">
        <v>183</v>
      </c>
      <c r="BI16" s="15">
        <v>0.10059999999999999</v>
      </c>
      <c r="BJ16" s="15" t="s">
        <v>199</v>
      </c>
      <c r="BK16" s="15" t="s">
        <v>200</v>
      </c>
      <c r="BL16" s="15" t="s">
        <v>183</v>
      </c>
      <c r="BM16" s="15">
        <v>0.108</v>
      </c>
      <c r="BN16" s="15" t="s">
        <v>201</v>
      </c>
      <c r="BO16" s="15" t="s">
        <v>202</v>
      </c>
      <c r="BP16" s="15" t="s">
        <v>183</v>
      </c>
      <c r="BQ16" s="15">
        <v>9.0300000000000005E-2</v>
      </c>
      <c r="BR16" s="15" t="s">
        <v>203</v>
      </c>
      <c r="BS16" s="15" t="s">
        <v>204</v>
      </c>
      <c r="BT16" s="15" t="s">
        <v>183</v>
      </c>
      <c r="BU16" s="15">
        <v>7.4899999999999994E-2</v>
      </c>
      <c r="BV16" s="15" t="s">
        <v>205</v>
      </c>
      <c r="BW16" s="15" t="s">
        <v>206</v>
      </c>
      <c r="BX16" s="15" t="s">
        <v>183</v>
      </c>
      <c r="BY16" s="15">
        <v>6.8900000000000003E-2</v>
      </c>
      <c r="BZ16" s="15" t="s">
        <v>207</v>
      </c>
      <c r="CA16" s="15" t="s">
        <v>208</v>
      </c>
      <c r="CB16" s="15" t="s">
        <v>183</v>
      </c>
      <c r="CC16" s="15">
        <v>8.5400000000000004E-2</v>
      </c>
      <c r="CD16" s="15" t="s">
        <v>209</v>
      </c>
      <c r="CE16" s="15" t="s">
        <v>194</v>
      </c>
      <c r="CF16" s="15" t="s">
        <v>183</v>
      </c>
      <c r="CG16" s="15">
        <v>8.3699999999999997E-2</v>
      </c>
      <c r="CH16" s="15" t="s">
        <v>210</v>
      </c>
      <c r="CI16" s="15" t="s">
        <v>211</v>
      </c>
      <c r="CJ16" s="15" t="s">
        <v>183</v>
      </c>
      <c r="CK16" s="15">
        <v>9.4299999999999995E-2</v>
      </c>
      <c r="CL16" s="15" t="s">
        <v>212</v>
      </c>
      <c r="CM16" s="15" t="s">
        <v>213</v>
      </c>
      <c r="CN16" s="15" t="s">
        <v>183</v>
      </c>
      <c r="CO16" s="15">
        <v>6.6000000000000003E-2</v>
      </c>
      <c r="CP16" s="15" t="s">
        <v>214</v>
      </c>
      <c r="CQ16" s="15" t="s">
        <v>215</v>
      </c>
      <c r="CR16" s="15" t="s">
        <v>183</v>
      </c>
      <c r="CS16" s="15">
        <v>9.5699999999999993E-2</v>
      </c>
      <c r="CT16" s="15" t="s">
        <v>216</v>
      </c>
      <c r="CU16" s="15" t="s">
        <v>102</v>
      </c>
      <c r="CV16" s="15" t="s">
        <v>183</v>
      </c>
      <c r="CW16" s="15">
        <v>8.43E-2</v>
      </c>
      <c r="CX16" s="15" t="s">
        <v>217</v>
      </c>
      <c r="CY16" s="15" t="s">
        <v>218</v>
      </c>
      <c r="CZ16" s="15" t="s">
        <v>183</v>
      </c>
      <c r="DA16" s="15">
        <v>0.11310000000000001</v>
      </c>
      <c r="DB16" s="15" t="s">
        <v>219</v>
      </c>
      <c r="DC16" s="15" t="s">
        <v>220</v>
      </c>
      <c r="DD16" s="15" t="s">
        <v>183</v>
      </c>
      <c r="DE16" s="15" t="s">
        <v>221</v>
      </c>
      <c r="DF16" s="15" t="s">
        <v>222</v>
      </c>
      <c r="DG16" s="15" t="s">
        <v>223</v>
      </c>
      <c r="DH16" s="15" t="s">
        <v>183</v>
      </c>
      <c r="DI16" s="15" t="s">
        <v>224</v>
      </c>
      <c r="DJ16" s="15" t="s">
        <v>225</v>
      </c>
      <c r="DK16" s="15" t="s">
        <v>226</v>
      </c>
      <c r="DL16" s="15" t="s">
        <v>183</v>
      </c>
      <c r="DM16" s="15" t="s">
        <v>227</v>
      </c>
      <c r="DN16" s="15" t="s">
        <v>228</v>
      </c>
      <c r="DO16" s="15" t="s">
        <v>229</v>
      </c>
      <c r="DP16" s="15" t="s">
        <v>183</v>
      </c>
      <c r="DQ16" s="15" t="s">
        <v>230</v>
      </c>
      <c r="DR16" s="15" t="s">
        <v>231</v>
      </c>
      <c r="DS16" s="15" t="s">
        <v>232</v>
      </c>
      <c r="DT16" s="15" t="s">
        <v>183</v>
      </c>
      <c r="DU16" s="15" t="s">
        <v>233</v>
      </c>
      <c r="DV16" s="15" t="s">
        <v>234</v>
      </c>
      <c r="DW16" s="15" t="s">
        <v>80</v>
      </c>
      <c r="DX16" s="15" t="s">
        <v>183</v>
      </c>
      <c r="DY16" s="15" t="s">
        <v>235</v>
      </c>
      <c r="DZ16" s="15" t="s">
        <v>236</v>
      </c>
      <c r="EA16" s="15" t="s">
        <v>237</v>
      </c>
    </row>
    <row r="17" spans="1:131" ht="14.4" customHeight="1" thickTop="1" thickBot="1" x14ac:dyDescent="0.35">
      <c r="A17" s="24"/>
      <c r="B17" s="17">
        <v>2018</v>
      </c>
      <c r="C17" s="17">
        <v>8976628</v>
      </c>
      <c r="D17" s="17">
        <v>842</v>
      </c>
      <c r="E17" s="18">
        <f t="shared" si="0"/>
        <v>9.3799141503914374</v>
      </c>
      <c r="F17" s="19">
        <f t="shared" si="1"/>
        <v>2.2385706105659553</v>
      </c>
      <c r="G17" s="25"/>
      <c r="H17" s="21"/>
      <c r="I17" s="26"/>
      <c r="J17" s="17">
        <v>4612952</v>
      </c>
      <c r="K17" s="17">
        <v>550</v>
      </c>
      <c r="L17" s="18">
        <f t="shared" si="2"/>
        <v>11.922950856631502</v>
      </c>
      <c r="M17" s="19">
        <f t="shared" si="3"/>
        <v>2.4784651860870346</v>
      </c>
      <c r="N17" s="25"/>
      <c r="O17" s="21"/>
      <c r="P17" s="26"/>
      <c r="Q17" s="17">
        <v>4363676</v>
      </c>
      <c r="R17" s="17">
        <v>292</v>
      </c>
      <c r="S17" s="18">
        <f t="shared" si="4"/>
        <v>6.6916058845798823</v>
      </c>
      <c r="T17" s="19">
        <f t="shared" si="5"/>
        <v>1.9008538878726355</v>
      </c>
      <c r="U17" s="25"/>
      <c r="V17" s="21"/>
      <c r="W17" s="27"/>
      <c r="X17" s="28" t="s">
        <v>238</v>
      </c>
      <c r="Y17" s="29" t="s">
        <v>239</v>
      </c>
      <c r="Z17" s="30"/>
      <c r="AA17" s="31"/>
      <c r="AB17" s="28" t="s">
        <v>238</v>
      </c>
      <c r="AC17" s="29" t="s">
        <v>240</v>
      </c>
      <c r="AD17" s="30"/>
      <c r="AE17" s="31"/>
      <c r="AF17" s="28" t="s">
        <v>238</v>
      </c>
      <c r="AG17" s="29" t="s">
        <v>241</v>
      </c>
      <c r="AH17" s="30"/>
      <c r="AI17" s="31"/>
      <c r="AJ17" s="30" t="s">
        <v>238</v>
      </c>
      <c r="AK17" s="31" t="s">
        <v>242</v>
      </c>
      <c r="AL17" s="28"/>
      <c r="AM17" s="29"/>
      <c r="AN17" s="30" t="s">
        <v>238</v>
      </c>
      <c r="AO17" s="31" t="s">
        <v>243</v>
      </c>
      <c r="AP17" s="28"/>
      <c r="AQ17" s="29"/>
      <c r="AR17" s="30" t="s">
        <v>238</v>
      </c>
      <c r="AS17" s="31" t="s">
        <v>244</v>
      </c>
      <c r="AT17" s="15"/>
      <c r="AU17" s="32"/>
      <c r="AV17" s="15" t="s">
        <v>238</v>
      </c>
      <c r="AW17" s="15" t="s">
        <v>245</v>
      </c>
      <c r="AX17" s="15"/>
      <c r="AY17" s="15"/>
      <c r="AZ17" s="15" t="s">
        <v>238</v>
      </c>
      <c r="BA17" s="15" t="s">
        <v>246</v>
      </c>
      <c r="BB17" s="15"/>
      <c r="BC17" s="15"/>
      <c r="BD17" s="15" t="s">
        <v>238</v>
      </c>
      <c r="BE17" s="15" t="s">
        <v>247</v>
      </c>
      <c r="BF17" s="15"/>
      <c r="BG17" s="15"/>
      <c r="BH17" s="15" t="s">
        <v>238</v>
      </c>
      <c r="BI17" s="15" t="s">
        <v>248</v>
      </c>
      <c r="BJ17" s="15"/>
      <c r="BK17" s="15"/>
      <c r="BL17" s="15" t="s">
        <v>238</v>
      </c>
      <c r="BM17" s="15" t="s">
        <v>249</v>
      </c>
      <c r="BN17" s="15"/>
      <c r="BO17" s="15"/>
      <c r="BP17" s="15" t="s">
        <v>238</v>
      </c>
      <c r="BQ17" s="15" t="s">
        <v>250</v>
      </c>
      <c r="BR17" s="15"/>
      <c r="BS17" s="15"/>
      <c r="BT17" s="15" t="s">
        <v>238</v>
      </c>
      <c r="BU17" s="15" t="s">
        <v>251</v>
      </c>
      <c r="BV17" s="15"/>
      <c r="BW17" s="15"/>
      <c r="BX17" s="15" t="s">
        <v>238</v>
      </c>
      <c r="BY17" s="15" t="s">
        <v>252</v>
      </c>
      <c r="BZ17" s="15"/>
      <c r="CA17" s="15"/>
      <c r="CB17" s="15" t="s">
        <v>238</v>
      </c>
      <c r="CC17" s="15" t="s">
        <v>253</v>
      </c>
      <c r="CD17" s="15"/>
      <c r="CE17" s="15"/>
      <c r="CF17" s="15" t="s">
        <v>238</v>
      </c>
      <c r="CG17" s="15" t="s">
        <v>254</v>
      </c>
      <c r="CH17" s="15"/>
      <c r="CI17" s="15"/>
      <c r="CJ17" s="15" t="s">
        <v>238</v>
      </c>
      <c r="CK17" s="15" t="s">
        <v>255</v>
      </c>
      <c r="CL17" s="15"/>
      <c r="CM17" s="15"/>
      <c r="CN17" s="15" t="s">
        <v>238</v>
      </c>
      <c r="CO17" s="15" t="s">
        <v>256</v>
      </c>
      <c r="CP17" s="15"/>
      <c r="CQ17" s="15"/>
      <c r="CR17" s="15" t="s">
        <v>238</v>
      </c>
      <c r="CS17" s="15" t="s">
        <v>257</v>
      </c>
      <c r="CT17" s="15"/>
      <c r="CU17" s="15"/>
      <c r="CV17" s="15" t="s">
        <v>238</v>
      </c>
      <c r="CW17" s="15" t="s">
        <v>258</v>
      </c>
      <c r="CX17" s="15"/>
      <c r="CY17" s="15"/>
      <c r="CZ17" s="15" t="s">
        <v>238</v>
      </c>
      <c r="DA17" s="15" t="s">
        <v>259</v>
      </c>
      <c r="DB17" s="15"/>
      <c r="DC17" s="15"/>
      <c r="DD17" s="15" t="s">
        <v>238</v>
      </c>
      <c r="DE17" s="15" t="s">
        <v>260</v>
      </c>
      <c r="DF17" s="15"/>
      <c r="DG17" s="15"/>
      <c r="DH17" s="15" t="s">
        <v>238</v>
      </c>
      <c r="DI17" s="15" t="s">
        <v>261</v>
      </c>
      <c r="DJ17" s="15"/>
      <c r="DK17" s="15"/>
      <c r="DL17" s="15" t="s">
        <v>238</v>
      </c>
      <c r="DM17" s="15" t="s">
        <v>262</v>
      </c>
      <c r="DN17" s="15"/>
      <c r="DO17" s="15"/>
      <c r="DP17" s="15" t="s">
        <v>238</v>
      </c>
      <c r="DQ17" s="15" t="s">
        <v>263</v>
      </c>
      <c r="DR17" s="15"/>
      <c r="DS17" s="15"/>
      <c r="DT17" s="15" t="s">
        <v>238</v>
      </c>
      <c r="DU17" s="15" t="s">
        <v>264</v>
      </c>
      <c r="DV17" s="15"/>
      <c r="DW17" s="15"/>
      <c r="DX17" s="15" t="s">
        <v>238</v>
      </c>
      <c r="DY17" s="15" t="s">
        <v>265</v>
      </c>
      <c r="DZ17" s="15"/>
      <c r="EA17" s="15"/>
    </row>
    <row r="18" spans="1:131" ht="13.95" customHeight="1" thickTop="1" thickBot="1" x14ac:dyDescent="0.35">
      <c r="A18" s="24"/>
      <c r="B18" s="17">
        <v>2019</v>
      </c>
      <c r="C18" s="17">
        <v>9035631</v>
      </c>
      <c r="D18" s="17">
        <v>974</v>
      </c>
      <c r="E18" s="18">
        <f t="shared" si="0"/>
        <v>10.779545999609766</v>
      </c>
      <c r="F18" s="19">
        <f t="shared" si="1"/>
        <v>2.3776504495299577</v>
      </c>
      <c r="G18" s="25"/>
      <c r="H18" s="21"/>
      <c r="I18" s="26"/>
      <c r="J18" s="17">
        <v>4643029</v>
      </c>
      <c r="K18" s="17">
        <v>640</v>
      </c>
      <c r="L18" s="18">
        <f t="shared" si="2"/>
        <v>13.784105160661285</v>
      </c>
      <c r="M18" s="19">
        <f t="shared" si="3"/>
        <v>2.6235161283797304</v>
      </c>
      <c r="N18" s="25"/>
      <c r="O18" s="21"/>
      <c r="P18" s="26"/>
      <c r="Q18" s="17">
        <v>4392602</v>
      </c>
      <c r="R18" s="17">
        <v>334</v>
      </c>
      <c r="S18" s="18">
        <f t="shared" si="4"/>
        <v>7.6036936649393683</v>
      </c>
      <c r="T18" s="19">
        <f t="shared" si="5"/>
        <v>2.0286341377730381</v>
      </c>
      <c r="U18" s="25"/>
      <c r="V18" s="21"/>
      <c r="W18" s="27"/>
      <c r="X18" s="28" t="s">
        <v>266</v>
      </c>
      <c r="Y18" s="29" t="s">
        <v>267</v>
      </c>
      <c r="Z18" s="30"/>
      <c r="AA18" s="31"/>
      <c r="AB18" s="28" t="s">
        <v>266</v>
      </c>
      <c r="AC18" s="29" t="s">
        <v>268</v>
      </c>
      <c r="AD18" s="30"/>
      <c r="AE18" s="31"/>
      <c r="AF18" s="28" t="s">
        <v>266</v>
      </c>
      <c r="AG18" s="29" t="s">
        <v>269</v>
      </c>
      <c r="AH18" s="30"/>
      <c r="AI18" s="31"/>
      <c r="AJ18" s="30" t="s">
        <v>266</v>
      </c>
      <c r="AK18" s="31" t="s">
        <v>270</v>
      </c>
      <c r="AL18" s="28"/>
      <c r="AM18" s="29"/>
      <c r="AN18" s="30" t="s">
        <v>266</v>
      </c>
      <c r="AO18" s="31" t="s">
        <v>271</v>
      </c>
      <c r="AP18" s="28"/>
      <c r="AQ18" s="29"/>
      <c r="AR18" s="30" t="s">
        <v>266</v>
      </c>
      <c r="AS18" s="31" t="s">
        <v>272</v>
      </c>
      <c r="AT18" s="15"/>
      <c r="AU18" s="32"/>
      <c r="AV18" s="15" t="s">
        <v>266</v>
      </c>
      <c r="AW18" s="15" t="s">
        <v>273</v>
      </c>
      <c r="AX18" s="15"/>
      <c r="AY18" s="15"/>
      <c r="AZ18" s="15" t="s">
        <v>266</v>
      </c>
      <c r="BA18" s="15" t="s">
        <v>274</v>
      </c>
      <c r="BB18" s="15"/>
      <c r="BC18" s="15"/>
      <c r="BD18" s="15" t="s">
        <v>266</v>
      </c>
      <c r="BE18" s="15" t="s">
        <v>275</v>
      </c>
      <c r="BF18" s="15"/>
      <c r="BG18" s="15"/>
      <c r="BH18" s="15" t="s">
        <v>266</v>
      </c>
      <c r="BI18" s="15" t="s">
        <v>276</v>
      </c>
      <c r="BJ18" s="15"/>
      <c r="BK18" s="15"/>
      <c r="BL18" s="15" t="s">
        <v>266</v>
      </c>
      <c r="BM18" s="15" t="s">
        <v>277</v>
      </c>
      <c r="BN18" s="15"/>
      <c r="BO18" s="15"/>
      <c r="BP18" s="15" t="s">
        <v>266</v>
      </c>
      <c r="BQ18" s="15" t="s">
        <v>278</v>
      </c>
      <c r="BR18" s="15"/>
      <c r="BS18" s="15"/>
      <c r="BT18" s="15" t="s">
        <v>266</v>
      </c>
      <c r="BU18" s="15" t="s">
        <v>279</v>
      </c>
      <c r="BV18" s="15"/>
      <c r="BW18" s="15"/>
      <c r="BX18" s="15" t="s">
        <v>266</v>
      </c>
      <c r="BY18" s="15" t="s">
        <v>280</v>
      </c>
      <c r="BZ18" s="15"/>
      <c r="CA18" s="15"/>
      <c r="CB18" s="15" t="s">
        <v>266</v>
      </c>
      <c r="CC18" s="15" t="s">
        <v>281</v>
      </c>
      <c r="CD18" s="15"/>
      <c r="CE18" s="15"/>
      <c r="CF18" s="15" t="s">
        <v>266</v>
      </c>
      <c r="CG18" s="15" t="s">
        <v>282</v>
      </c>
      <c r="CH18" s="15"/>
      <c r="CI18" s="15"/>
      <c r="CJ18" s="15" t="s">
        <v>266</v>
      </c>
      <c r="CK18" s="15" t="s">
        <v>283</v>
      </c>
      <c r="CL18" s="15"/>
      <c r="CM18" s="15"/>
      <c r="CN18" s="15" t="s">
        <v>266</v>
      </c>
      <c r="CO18" s="15" t="s">
        <v>284</v>
      </c>
      <c r="CP18" s="15"/>
      <c r="CQ18" s="15"/>
      <c r="CR18" s="15" t="s">
        <v>266</v>
      </c>
      <c r="CS18" s="15" t="s">
        <v>285</v>
      </c>
      <c r="CT18" s="15"/>
      <c r="CU18" s="15"/>
      <c r="CV18" s="15" t="s">
        <v>266</v>
      </c>
      <c r="CW18" s="15" t="s">
        <v>286</v>
      </c>
      <c r="CX18" s="15"/>
      <c r="CY18" s="15"/>
      <c r="CZ18" s="15" t="s">
        <v>266</v>
      </c>
      <c r="DA18" s="15" t="s">
        <v>287</v>
      </c>
      <c r="DB18" s="15"/>
      <c r="DC18" s="15"/>
      <c r="DD18" s="15" t="s">
        <v>266</v>
      </c>
      <c r="DE18" s="15" t="s">
        <v>288</v>
      </c>
      <c r="DF18" s="15"/>
      <c r="DG18" s="15"/>
      <c r="DH18" s="15" t="s">
        <v>266</v>
      </c>
      <c r="DI18" s="15" t="s">
        <v>289</v>
      </c>
      <c r="DJ18" s="15"/>
      <c r="DK18" s="15"/>
      <c r="DL18" s="15" t="s">
        <v>266</v>
      </c>
      <c r="DM18" s="15" t="s">
        <v>290</v>
      </c>
      <c r="DN18" s="15"/>
      <c r="DO18" s="15"/>
      <c r="DP18" s="15" t="s">
        <v>266</v>
      </c>
      <c r="DQ18" s="15" t="s">
        <v>291</v>
      </c>
      <c r="DR18" s="15"/>
      <c r="DS18" s="15"/>
      <c r="DT18" s="15" t="s">
        <v>266</v>
      </c>
      <c r="DU18" s="15" t="s">
        <v>292</v>
      </c>
      <c r="DV18" s="15"/>
      <c r="DW18" s="15"/>
      <c r="DX18" s="15" t="s">
        <v>266</v>
      </c>
      <c r="DY18" s="15" t="s">
        <v>293</v>
      </c>
      <c r="DZ18" s="15"/>
      <c r="EA18" s="15"/>
    </row>
    <row r="19" spans="1:131" ht="15.6" thickTop="1" thickBot="1" x14ac:dyDescent="0.35">
      <c r="A19" s="24"/>
      <c r="B19" s="17">
        <v>2020</v>
      </c>
      <c r="C19" s="17">
        <v>9088929</v>
      </c>
      <c r="D19" s="17">
        <v>991</v>
      </c>
      <c r="E19" s="18">
        <f t="shared" si="0"/>
        <v>10.903374864079145</v>
      </c>
      <c r="F19" s="19">
        <f t="shared" si="1"/>
        <v>2.3890723618702645</v>
      </c>
      <c r="G19" s="25"/>
      <c r="H19" s="21"/>
      <c r="I19" s="26"/>
      <c r="J19" s="17">
        <v>4671192</v>
      </c>
      <c r="K19" s="17">
        <v>653</v>
      </c>
      <c r="L19" s="18">
        <f t="shared" si="2"/>
        <v>13.979301214764883</v>
      </c>
      <c r="M19" s="19">
        <f t="shared" si="3"/>
        <v>2.6375777509186853</v>
      </c>
      <c r="N19" s="25"/>
      <c r="O19" s="21"/>
      <c r="P19" s="26"/>
      <c r="Q19" s="17">
        <v>4417737</v>
      </c>
      <c r="R19" s="17">
        <v>338</v>
      </c>
      <c r="S19" s="18">
        <f t="shared" si="4"/>
        <v>7.6509760540294733</v>
      </c>
      <c r="T19" s="19">
        <f t="shared" si="5"/>
        <v>2.0348332284617134</v>
      </c>
      <c r="U19" s="25"/>
      <c r="V19" s="21"/>
      <c r="W19" s="27"/>
      <c r="X19" s="28" t="s">
        <v>294</v>
      </c>
      <c r="Y19" s="29" t="s">
        <v>295</v>
      </c>
      <c r="Z19" s="30"/>
      <c r="AA19" s="31"/>
      <c r="AB19" s="28" t="s">
        <v>294</v>
      </c>
      <c r="AC19" s="29" t="s">
        <v>295</v>
      </c>
      <c r="AD19" s="30"/>
      <c r="AE19" s="31"/>
      <c r="AF19" s="28" t="s">
        <v>294</v>
      </c>
      <c r="AG19" s="29" t="s">
        <v>295</v>
      </c>
      <c r="AH19" s="30"/>
      <c r="AI19" s="31"/>
      <c r="AJ19" s="30" t="s">
        <v>294</v>
      </c>
      <c r="AK19" s="31" t="s">
        <v>295</v>
      </c>
      <c r="AL19" s="28"/>
      <c r="AM19" s="29"/>
      <c r="AN19" s="30" t="s">
        <v>294</v>
      </c>
      <c r="AO19" s="31" t="s">
        <v>295</v>
      </c>
      <c r="AP19" s="28"/>
      <c r="AQ19" s="29"/>
      <c r="AR19" s="30" t="s">
        <v>294</v>
      </c>
      <c r="AS19" s="31" t="s">
        <v>295</v>
      </c>
      <c r="AT19" s="15"/>
      <c r="AU19" s="32"/>
      <c r="AV19" s="15" t="s">
        <v>294</v>
      </c>
      <c r="AW19" s="15" t="s">
        <v>295</v>
      </c>
      <c r="AX19" s="15"/>
      <c r="AY19" s="15"/>
      <c r="AZ19" s="15" t="s">
        <v>294</v>
      </c>
      <c r="BA19" s="15" t="s">
        <v>295</v>
      </c>
      <c r="BB19" s="15"/>
      <c r="BC19" s="15"/>
      <c r="BD19" s="15" t="s">
        <v>294</v>
      </c>
      <c r="BE19" s="15" t="s">
        <v>295</v>
      </c>
      <c r="BF19" s="15"/>
      <c r="BG19" s="15"/>
      <c r="BH19" s="15" t="s">
        <v>294</v>
      </c>
      <c r="BI19" s="15" t="s">
        <v>295</v>
      </c>
      <c r="BJ19" s="15"/>
      <c r="BK19" s="15"/>
      <c r="BL19" s="15" t="s">
        <v>294</v>
      </c>
      <c r="BM19" s="15" t="s">
        <v>295</v>
      </c>
      <c r="BN19" s="15"/>
      <c r="BO19" s="15"/>
      <c r="BP19" s="15" t="s">
        <v>294</v>
      </c>
      <c r="BQ19" s="15" t="s">
        <v>295</v>
      </c>
      <c r="BR19" s="15"/>
      <c r="BS19" s="15"/>
      <c r="BT19" s="15" t="s">
        <v>294</v>
      </c>
      <c r="BU19" s="15" t="s">
        <v>295</v>
      </c>
      <c r="BV19" s="15"/>
      <c r="BW19" s="15"/>
      <c r="BX19" s="15" t="s">
        <v>294</v>
      </c>
      <c r="BY19" s="15" t="s">
        <v>295</v>
      </c>
      <c r="BZ19" s="15"/>
      <c r="CA19" s="15"/>
      <c r="CB19" s="15" t="s">
        <v>294</v>
      </c>
      <c r="CC19" s="15" t="s">
        <v>295</v>
      </c>
      <c r="CD19" s="15"/>
      <c r="CE19" s="15"/>
      <c r="CF19" s="15" t="s">
        <v>294</v>
      </c>
      <c r="CG19" s="15" t="s">
        <v>295</v>
      </c>
      <c r="CH19" s="15"/>
      <c r="CI19" s="15"/>
      <c r="CJ19" s="15" t="s">
        <v>294</v>
      </c>
      <c r="CK19" s="15" t="s">
        <v>295</v>
      </c>
      <c r="CL19" s="15"/>
      <c r="CM19" s="15"/>
      <c r="CN19" s="15" t="s">
        <v>294</v>
      </c>
      <c r="CO19" s="15" t="s">
        <v>295</v>
      </c>
      <c r="CP19" s="15"/>
      <c r="CQ19" s="15"/>
      <c r="CR19" s="15" t="s">
        <v>294</v>
      </c>
      <c r="CS19" s="15" t="s">
        <v>295</v>
      </c>
      <c r="CT19" s="15"/>
      <c r="CU19" s="15"/>
      <c r="CV19" s="15" t="s">
        <v>294</v>
      </c>
      <c r="CW19" s="15" t="s">
        <v>295</v>
      </c>
      <c r="CX19" s="15"/>
      <c r="CY19" s="15"/>
      <c r="CZ19" s="15" t="s">
        <v>294</v>
      </c>
      <c r="DA19" s="15" t="s">
        <v>295</v>
      </c>
      <c r="DB19" s="15"/>
      <c r="DC19" s="15"/>
      <c r="DD19" s="15" t="s">
        <v>294</v>
      </c>
      <c r="DE19" s="15" t="s">
        <v>295</v>
      </c>
      <c r="DF19" s="15"/>
      <c r="DG19" s="15"/>
      <c r="DH19" s="15" t="s">
        <v>294</v>
      </c>
      <c r="DI19" s="15" t="s">
        <v>295</v>
      </c>
      <c r="DJ19" s="15"/>
      <c r="DK19" s="15"/>
      <c r="DL19" s="15" t="s">
        <v>294</v>
      </c>
      <c r="DM19" s="15" t="s">
        <v>295</v>
      </c>
      <c r="DN19" s="15"/>
      <c r="DO19" s="15"/>
      <c r="DP19" s="15" t="s">
        <v>294</v>
      </c>
      <c r="DQ19" s="15" t="s">
        <v>295</v>
      </c>
      <c r="DR19" s="15"/>
      <c r="DS19" s="15"/>
      <c r="DT19" s="15" t="s">
        <v>294</v>
      </c>
      <c r="DU19" s="15" t="s">
        <v>295</v>
      </c>
      <c r="DV19" s="15"/>
      <c r="DW19" s="15"/>
      <c r="DX19" s="15" t="s">
        <v>294</v>
      </c>
      <c r="DY19" s="15" t="s">
        <v>295</v>
      </c>
      <c r="DZ19" s="15"/>
      <c r="EA19" s="15"/>
    </row>
    <row r="20" spans="1:131" ht="15.6" thickTop="1" thickBot="1" x14ac:dyDescent="0.35">
      <c r="A20" s="33"/>
      <c r="B20" s="17">
        <v>2021</v>
      </c>
      <c r="C20" s="17">
        <v>9129520</v>
      </c>
      <c r="D20" s="17">
        <v>1168</v>
      </c>
      <c r="E20" s="18">
        <f t="shared" si="0"/>
        <v>12.79366275554465</v>
      </c>
      <c r="F20" s="19">
        <f t="shared" si="1"/>
        <v>2.5489499511013993</v>
      </c>
      <c r="G20" s="34"/>
      <c r="H20" s="21"/>
      <c r="I20" s="35"/>
      <c r="J20" s="17">
        <v>4693811</v>
      </c>
      <c r="K20" s="17">
        <v>792</v>
      </c>
      <c r="L20" s="18">
        <f t="shared" si="2"/>
        <v>16.873282712064888</v>
      </c>
      <c r="M20" s="19">
        <f t="shared" si="3"/>
        <v>2.8257314663691937</v>
      </c>
      <c r="N20" s="34"/>
      <c r="O20" s="21"/>
      <c r="P20" s="35"/>
      <c r="Q20" s="17">
        <v>4435709</v>
      </c>
      <c r="R20" s="17">
        <v>376</v>
      </c>
      <c r="S20" s="18">
        <f t="shared" si="4"/>
        <v>8.4766606646197946</v>
      </c>
      <c r="T20" s="19">
        <f t="shared" si="5"/>
        <v>2.1373165826987934</v>
      </c>
      <c r="U20" s="34"/>
      <c r="V20" s="21"/>
      <c r="W20" s="35"/>
      <c r="AB20" s="51"/>
      <c r="AC20" s="52"/>
      <c r="AD20" s="53"/>
      <c r="AE20" s="54"/>
      <c r="AF20" s="55"/>
      <c r="AG20" s="56"/>
      <c r="AH20" s="51"/>
      <c r="AI20" s="52"/>
      <c r="AJ20" s="53"/>
      <c r="AK20" s="54"/>
      <c r="AL20" s="51"/>
      <c r="AM20" s="52"/>
      <c r="AN20" s="53"/>
      <c r="AO20" s="54"/>
      <c r="AP20" s="51"/>
      <c r="AQ20" s="52"/>
      <c r="AR20" s="53"/>
      <c r="AS20" s="54"/>
    </row>
    <row r="21" spans="1:131" ht="15.6" thickTop="1" thickBot="1" x14ac:dyDescent="0.35">
      <c r="A21" s="38" t="s">
        <v>296</v>
      </c>
      <c r="B21" s="39">
        <v>2016</v>
      </c>
      <c r="C21" s="39">
        <v>6863878</v>
      </c>
      <c r="D21" s="39">
        <v>177</v>
      </c>
      <c r="E21" s="18">
        <f t="shared" si="0"/>
        <v>2.5787171625136693</v>
      </c>
      <c r="F21" s="19">
        <f t="shared" si="1"/>
        <v>0.94729205144485373</v>
      </c>
      <c r="G21" s="20">
        <v>0.10059999999999999</v>
      </c>
      <c r="H21" s="21">
        <f>(EXP(G21)-1)*100</f>
        <v>10.583421959705031</v>
      </c>
      <c r="I21" s="41">
        <v>3.3999999999999998E-3</v>
      </c>
      <c r="J21" s="39">
        <v>3466600</v>
      </c>
      <c r="K21" s="39">
        <v>105</v>
      </c>
      <c r="L21" s="18">
        <f t="shared" si="2"/>
        <v>3.0289044020077309</v>
      </c>
      <c r="M21" s="19">
        <f t="shared" si="3"/>
        <v>1.1082009706384048</v>
      </c>
      <c r="N21" s="20">
        <v>0.108</v>
      </c>
      <c r="O21" s="21">
        <f>(EXP(N21)-1)*100</f>
        <v>11.404774538646766</v>
      </c>
      <c r="P21" s="41">
        <v>4.8999999999999998E-3</v>
      </c>
      <c r="Q21" s="39">
        <v>3397278</v>
      </c>
      <c r="R21" s="39">
        <v>72</v>
      </c>
      <c r="S21" s="18">
        <f t="shared" si="4"/>
        <v>2.1193437805207584</v>
      </c>
      <c r="T21" s="19">
        <f t="shared" si="5"/>
        <v>0.75110650327709561</v>
      </c>
      <c r="U21" s="20">
        <v>9.0300000000000005E-2</v>
      </c>
      <c r="V21" s="21">
        <f t="shared" ref="V21" si="6">(EXP(U21)-1)*100</f>
        <v>9.4502585233088752</v>
      </c>
      <c r="W21" s="41">
        <v>2.93E-2</v>
      </c>
      <c r="AB21" s="51"/>
      <c r="AC21" s="52"/>
      <c r="AD21" s="53"/>
      <c r="AE21" s="54"/>
      <c r="AF21" s="55"/>
      <c r="AG21" s="56"/>
      <c r="AH21" s="51"/>
      <c r="AI21" s="52"/>
      <c r="AJ21" s="53"/>
      <c r="AK21" s="54"/>
      <c r="AL21" s="51"/>
      <c r="AM21" s="52"/>
      <c r="AN21" s="53"/>
      <c r="AO21" s="54"/>
      <c r="AP21" s="51"/>
      <c r="AQ21" s="52"/>
      <c r="AR21" s="53"/>
      <c r="AS21" s="54"/>
    </row>
    <row r="22" spans="1:131" ht="15.6" thickTop="1" thickBot="1" x14ac:dyDescent="0.35">
      <c r="A22" s="43"/>
      <c r="B22" s="39">
        <v>2017</v>
      </c>
      <c r="C22" s="39">
        <v>6890375</v>
      </c>
      <c r="D22" s="39">
        <v>206</v>
      </c>
      <c r="E22" s="18">
        <f t="shared" si="0"/>
        <v>2.9896776300273933</v>
      </c>
      <c r="F22" s="19">
        <f t="shared" si="1"/>
        <v>1.0951655655456776</v>
      </c>
      <c r="G22" s="25"/>
      <c r="H22" s="21"/>
      <c r="I22" s="45"/>
      <c r="J22" s="39">
        <v>3481536</v>
      </c>
      <c r="K22" s="39">
        <v>116</v>
      </c>
      <c r="L22" s="18">
        <f t="shared" si="2"/>
        <v>3.33186271806467</v>
      </c>
      <c r="M22" s="19">
        <f t="shared" si="3"/>
        <v>1.2035315223947858</v>
      </c>
      <c r="N22" s="25"/>
      <c r="O22" s="21"/>
      <c r="P22" s="45"/>
      <c r="Q22" s="39">
        <v>3408839</v>
      </c>
      <c r="R22" s="39">
        <v>90</v>
      </c>
      <c r="S22" s="18">
        <f t="shared" si="4"/>
        <v>2.6401950928160587</v>
      </c>
      <c r="T22" s="19">
        <f t="shared" si="5"/>
        <v>0.97085281322180506</v>
      </c>
      <c r="U22" s="25"/>
      <c r="V22" s="21"/>
      <c r="W22" s="45"/>
      <c r="AB22" s="51"/>
      <c r="AC22" s="52"/>
      <c r="AD22" s="53"/>
      <c r="AE22" s="54"/>
      <c r="AF22" s="55"/>
      <c r="AG22" s="56"/>
      <c r="AH22" s="51"/>
      <c r="AI22" s="52"/>
      <c r="AJ22" s="53"/>
      <c r="AK22" s="54"/>
      <c r="AL22" s="51"/>
      <c r="AM22" s="52"/>
      <c r="AN22" s="53"/>
      <c r="AO22" s="54"/>
      <c r="AP22" s="51"/>
      <c r="AQ22" s="52"/>
      <c r="AR22" s="53"/>
      <c r="AS22" s="54"/>
    </row>
    <row r="23" spans="1:131" ht="15.6" thickTop="1" thickBot="1" x14ac:dyDescent="0.35">
      <c r="A23" s="43"/>
      <c r="B23" s="39">
        <v>2018</v>
      </c>
      <c r="C23" s="39">
        <v>6917016</v>
      </c>
      <c r="D23" s="39">
        <v>195</v>
      </c>
      <c r="E23" s="18">
        <f t="shared" si="0"/>
        <v>2.8191347251473755</v>
      </c>
      <c r="F23" s="19">
        <f t="shared" si="1"/>
        <v>1.0364300028123934</v>
      </c>
      <c r="G23" s="25"/>
      <c r="H23" s="21"/>
      <c r="I23" s="45"/>
      <c r="J23" s="39">
        <v>3496284</v>
      </c>
      <c r="K23" s="39">
        <v>112</v>
      </c>
      <c r="L23" s="18">
        <f t="shared" si="2"/>
        <v>3.203401096707247</v>
      </c>
      <c r="M23" s="19">
        <f t="shared" si="3"/>
        <v>1.1642130881092601</v>
      </c>
      <c r="N23" s="25"/>
      <c r="O23" s="21"/>
      <c r="P23" s="45"/>
      <c r="Q23" s="39">
        <v>3420732</v>
      </c>
      <c r="R23" s="39">
        <v>83</v>
      </c>
      <c r="S23" s="18">
        <f t="shared" si="4"/>
        <v>2.4263812540707663</v>
      </c>
      <c r="T23" s="19">
        <f t="shared" si="5"/>
        <v>0.88640095154256071</v>
      </c>
      <c r="U23" s="25"/>
      <c r="V23" s="21"/>
      <c r="W23" s="45"/>
      <c r="AB23" s="51"/>
      <c r="AC23" s="52"/>
      <c r="AD23" s="53"/>
      <c r="AE23" s="54"/>
      <c r="AF23" s="55"/>
      <c r="AG23" s="56"/>
      <c r="AH23" s="51"/>
      <c r="AI23" s="52"/>
      <c r="AJ23" s="53"/>
      <c r="AK23" s="54"/>
      <c r="AL23" s="51"/>
      <c r="AM23" s="52"/>
      <c r="AN23" s="53"/>
      <c r="AO23" s="54"/>
      <c r="AP23" s="51"/>
      <c r="AQ23" s="52"/>
      <c r="AR23" s="53"/>
      <c r="AS23" s="54"/>
    </row>
    <row r="24" spans="1:131" ht="15.6" thickTop="1" thickBot="1" x14ac:dyDescent="0.35">
      <c r="A24" s="43"/>
      <c r="B24" s="39">
        <v>2019</v>
      </c>
      <c r="C24" s="39">
        <v>6946725</v>
      </c>
      <c r="D24" s="39">
        <v>252</v>
      </c>
      <c r="E24" s="18">
        <f>(D24/C24)*100000</f>
        <v>3.6276086933051186</v>
      </c>
      <c r="F24" s="19">
        <f t="shared" si="1"/>
        <v>1.2885736690227185</v>
      </c>
      <c r="G24" s="25"/>
      <c r="H24" s="21"/>
      <c r="I24" s="45"/>
      <c r="J24" s="39">
        <v>3512440</v>
      </c>
      <c r="K24" s="39">
        <v>151</v>
      </c>
      <c r="L24" s="18">
        <f t="shared" si="2"/>
        <v>4.2990058193164868</v>
      </c>
      <c r="M24" s="19">
        <f t="shared" si="3"/>
        <v>1.4583837911574449</v>
      </c>
      <c r="N24" s="25"/>
      <c r="O24" s="21"/>
      <c r="P24" s="45"/>
      <c r="Q24" s="39">
        <v>3434285</v>
      </c>
      <c r="R24" s="39">
        <v>101</v>
      </c>
      <c r="S24" s="18">
        <f t="shared" si="4"/>
        <v>2.940932392040847</v>
      </c>
      <c r="T24" s="19">
        <f t="shared" si="5"/>
        <v>1.0787266712222308</v>
      </c>
      <c r="U24" s="25"/>
      <c r="V24" s="21"/>
      <c r="W24" s="45"/>
      <c r="AB24" s="51"/>
      <c r="AC24" s="52"/>
      <c r="AD24" s="53"/>
      <c r="AE24" s="54"/>
      <c r="AF24" s="55"/>
      <c r="AG24" s="56"/>
      <c r="AH24" s="51"/>
      <c r="AI24" s="52"/>
      <c r="AJ24" s="53"/>
      <c r="AK24" s="54"/>
      <c r="AL24" s="51"/>
      <c r="AM24" s="52"/>
      <c r="AN24" s="53"/>
      <c r="AO24" s="54"/>
      <c r="AP24" s="51"/>
      <c r="AQ24" s="52"/>
      <c r="AR24" s="53"/>
      <c r="AS24" s="54"/>
    </row>
    <row r="25" spans="1:131" ht="15.6" thickTop="1" thickBot="1" x14ac:dyDescent="0.35">
      <c r="A25" s="43"/>
      <c r="B25" s="39">
        <v>2020</v>
      </c>
      <c r="C25" s="39">
        <v>6970988</v>
      </c>
      <c r="D25" s="39">
        <v>280</v>
      </c>
      <c r="E25" s="18">
        <f t="shared" si="0"/>
        <v>4.0166472815618102</v>
      </c>
      <c r="F25" s="19">
        <f t="shared" si="1"/>
        <v>1.3904475450897242</v>
      </c>
      <c r="G25" s="25"/>
      <c r="H25" s="21"/>
      <c r="I25" s="45"/>
      <c r="J25" s="39">
        <v>3526357</v>
      </c>
      <c r="K25" s="39">
        <v>152</v>
      </c>
      <c r="L25" s="18">
        <f t="shared" si="2"/>
        <v>4.3103973874454571</v>
      </c>
      <c r="M25" s="19">
        <f t="shared" si="3"/>
        <v>1.4610301011288283</v>
      </c>
      <c r="N25" s="25"/>
      <c r="O25" s="21"/>
      <c r="P25" s="45"/>
      <c r="Q25" s="39">
        <v>3444631</v>
      </c>
      <c r="R25" s="39">
        <v>128</v>
      </c>
      <c r="S25" s="18">
        <f t="shared" si="4"/>
        <v>3.7159277728151432</v>
      </c>
      <c r="T25" s="19">
        <f t="shared" si="5"/>
        <v>1.3126283839529918</v>
      </c>
      <c r="U25" s="25"/>
      <c r="V25" s="21"/>
      <c r="W25" s="45"/>
      <c r="AB25" s="51"/>
      <c r="AC25" s="52"/>
      <c r="AD25" s="53"/>
      <c r="AE25" s="54"/>
      <c r="AF25" s="55"/>
      <c r="AG25" s="56"/>
      <c r="AH25" s="51"/>
      <c r="AI25" s="52"/>
      <c r="AJ25" s="53"/>
      <c r="AK25" s="54"/>
      <c r="AL25" s="51"/>
      <c r="AM25" s="52"/>
      <c r="AN25" s="53"/>
      <c r="AO25" s="54"/>
      <c r="AP25" s="51"/>
      <c r="AQ25" s="52"/>
      <c r="AR25" s="53"/>
      <c r="AS25" s="54"/>
    </row>
    <row r="26" spans="1:131" ht="15.6" thickTop="1" thickBot="1" x14ac:dyDescent="0.35">
      <c r="A26" s="47"/>
      <c r="B26" s="39">
        <v>2021</v>
      </c>
      <c r="C26" s="39">
        <v>6988154</v>
      </c>
      <c r="D26" s="39">
        <v>292</v>
      </c>
      <c r="E26" s="18">
        <f t="shared" si="0"/>
        <v>4.1784997869251308</v>
      </c>
      <c r="F26" s="19">
        <f t="shared" si="1"/>
        <v>1.4299522794662045</v>
      </c>
      <c r="G26" s="34"/>
      <c r="H26" s="21"/>
      <c r="I26" s="49"/>
      <c r="J26" s="39">
        <v>3537244</v>
      </c>
      <c r="K26" s="39">
        <v>184</v>
      </c>
      <c r="L26" s="18">
        <f t="shared" si="2"/>
        <v>5.2017898680441608</v>
      </c>
      <c r="M26" s="19">
        <f t="shared" si="3"/>
        <v>1.6490027717554032</v>
      </c>
      <c r="N26" s="34"/>
      <c r="O26" s="21"/>
      <c r="P26" s="49"/>
      <c r="Q26" s="39">
        <v>3450910</v>
      </c>
      <c r="R26" s="39">
        <v>108</v>
      </c>
      <c r="S26" s="18">
        <f t="shared" si="4"/>
        <v>3.1296092914622524</v>
      </c>
      <c r="T26" s="19">
        <f t="shared" si="5"/>
        <v>1.1409081697516574</v>
      </c>
      <c r="U26" s="34"/>
      <c r="V26" s="21"/>
      <c r="W26" s="49"/>
      <c r="AB26" s="51"/>
      <c r="AC26" s="52"/>
      <c r="AD26" s="53"/>
      <c r="AE26" s="54"/>
      <c r="AF26" s="55"/>
      <c r="AG26" s="56"/>
      <c r="AH26" s="51"/>
      <c r="AI26" s="52"/>
      <c r="AJ26" s="53"/>
      <c r="AK26" s="54"/>
      <c r="AL26" s="51"/>
      <c r="AM26" s="52"/>
      <c r="AN26" s="53"/>
      <c r="AO26" s="54"/>
      <c r="AP26" s="51"/>
      <c r="AQ26" s="52"/>
      <c r="AR26" s="53"/>
      <c r="AS26" s="54"/>
    </row>
    <row r="27" spans="1:131" ht="15.6" thickTop="1" thickBot="1" x14ac:dyDescent="0.35">
      <c r="A27" s="16" t="s">
        <v>297</v>
      </c>
      <c r="B27" s="17">
        <v>2016</v>
      </c>
      <c r="C27" s="17">
        <v>3957455</v>
      </c>
      <c r="D27" s="17">
        <v>336</v>
      </c>
      <c r="E27" s="18">
        <f t="shared" si="0"/>
        <v>8.4903050066267323</v>
      </c>
      <c r="F27" s="19">
        <f t="shared" si="1"/>
        <v>2.1389249250756848</v>
      </c>
      <c r="G27" s="20">
        <v>7.4899999999999994E-2</v>
      </c>
      <c r="H27" s="21">
        <f t="shared" ref="H27" si="7">(EXP(G27)-1)*100</f>
        <v>7.7776367858784168</v>
      </c>
      <c r="I27" s="22">
        <v>1.4200000000000001E-2</v>
      </c>
      <c r="J27" s="17">
        <v>2040640</v>
      </c>
      <c r="K27" s="17">
        <v>219</v>
      </c>
      <c r="L27" s="18">
        <f t="shared" si="2"/>
        <v>10.731927238513409</v>
      </c>
      <c r="M27" s="19">
        <f t="shared" si="3"/>
        <v>2.3732231526776855</v>
      </c>
      <c r="N27" s="20">
        <v>6.8900000000000003E-2</v>
      </c>
      <c r="O27" s="21">
        <f t="shared" ref="O27" si="8">(EXP(N27)-1)*100</f>
        <v>7.1329070884433854</v>
      </c>
      <c r="P27" s="22">
        <v>4.7100000000000003E-2</v>
      </c>
      <c r="Q27" s="17">
        <v>1916815</v>
      </c>
      <c r="R27" s="17">
        <v>117</v>
      </c>
      <c r="S27" s="18">
        <f t="shared" si="4"/>
        <v>6.1038754392051402</v>
      </c>
      <c r="T27" s="19">
        <f t="shared" si="5"/>
        <v>1.8089238873527658</v>
      </c>
      <c r="U27" s="20">
        <v>8.5400000000000004E-2</v>
      </c>
      <c r="V27" s="21">
        <f t="shared" ref="V27" si="9">(EXP(U27)-1)*100</f>
        <v>8.915264063405747</v>
      </c>
      <c r="W27" s="22">
        <v>7.1999999999999998E-3</v>
      </c>
      <c r="AB27" s="51"/>
      <c r="AC27" s="52"/>
      <c r="AD27" s="53"/>
      <c r="AE27" s="54"/>
      <c r="AF27" s="55"/>
      <c r="AG27" s="56"/>
      <c r="AH27" s="51"/>
      <c r="AI27" s="52"/>
      <c r="AJ27" s="53"/>
      <c r="AK27" s="54"/>
      <c r="AL27" s="51"/>
      <c r="AM27" s="52"/>
      <c r="AN27" s="53"/>
      <c r="AO27" s="54"/>
      <c r="AP27" s="51"/>
      <c r="AQ27" s="52"/>
      <c r="AR27" s="53"/>
      <c r="AS27" s="54"/>
    </row>
    <row r="28" spans="1:131" ht="15.6" thickTop="1" thickBot="1" x14ac:dyDescent="0.35">
      <c r="A28" s="24"/>
      <c r="B28" s="17">
        <v>2017</v>
      </c>
      <c r="C28" s="17">
        <v>3981512</v>
      </c>
      <c r="D28" s="17">
        <v>363</v>
      </c>
      <c r="E28" s="18">
        <f t="shared" si="0"/>
        <v>9.1171394183918082</v>
      </c>
      <c r="F28" s="19">
        <f t="shared" si="1"/>
        <v>2.2101560946205145</v>
      </c>
      <c r="G28" s="25"/>
      <c r="H28" s="21"/>
      <c r="I28" s="26"/>
      <c r="J28" s="17">
        <v>2053301</v>
      </c>
      <c r="K28" s="17">
        <v>230</v>
      </c>
      <c r="L28" s="18">
        <f t="shared" si="2"/>
        <v>11.201475088162915</v>
      </c>
      <c r="M28" s="19">
        <f t="shared" si="3"/>
        <v>2.4160454739290591</v>
      </c>
      <c r="N28" s="25"/>
      <c r="O28" s="21"/>
      <c r="P28" s="26"/>
      <c r="Q28" s="17">
        <v>1928211</v>
      </c>
      <c r="R28" s="17">
        <v>133</v>
      </c>
      <c r="S28" s="18">
        <f t="shared" si="4"/>
        <v>6.8975853783636749</v>
      </c>
      <c r="T28" s="19">
        <f t="shared" si="5"/>
        <v>1.931171405193431</v>
      </c>
      <c r="U28" s="25"/>
      <c r="V28" s="21"/>
      <c r="W28" s="26"/>
      <c r="AB28" s="51"/>
      <c r="AC28" s="52"/>
      <c r="AD28" s="53"/>
      <c r="AE28" s="54"/>
      <c r="AF28" s="55"/>
      <c r="AG28" s="56"/>
      <c r="AH28" s="51"/>
      <c r="AI28" s="52"/>
      <c r="AJ28" s="53"/>
      <c r="AK28" s="54"/>
      <c r="AL28" s="51"/>
      <c r="AM28" s="52"/>
      <c r="AN28" s="53"/>
      <c r="AO28" s="54"/>
      <c r="AP28" s="51"/>
      <c r="AQ28" s="52"/>
      <c r="AR28" s="53"/>
      <c r="AS28" s="54"/>
    </row>
    <row r="29" spans="1:131" ht="15.6" thickTop="1" thickBot="1" x14ac:dyDescent="0.35">
      <c r="A29" s="24"/>
      <c r="B29" s="17">
        <v>2018</v>
      </c>
      <c r="C29" s="17">
        <v>4008413</v>
      </c>
      <c r="D29" s="17">
        <v>349</v>
      </c>
      <c r="E29" s="18">
        <f t="shared" si="0"/>
        <v>8.7066876591808278</v>
      </c>
      <c r="F29" s="19">
        <f t="shared" si="1"/>
        <v>2.1640914268223015</v>
      </c>
      <c r="G29" s="25"/>
      <c r="H29" s="21"/>
      <c r="I29" s="26"/>
      <c r="J29" s="17">
        <v>2067267</v>
      </c>
      <c r="K29" s="17">
        <v>226</v>
      </c>
      <c r="L29" s="18">
        <f t="shared" si="2"/>
        <v>10.932308211759779</v>
      </c>
      <c r="M29" s="19">
        <f t="shared" si="3"/>
        <v>2.3917224612066073</v>
      </c>
      <c r="N29" s="25"/>
      <c r="O29" s="21"/>
      <c r="P29" s="26"/>
      <c r="Q29" s="17">
        <v>1941146</v>
      </c>
      <c r="R29" s="17">
        <v>123</v>
      </c>
      <c r="S29" s="18">
        <f t="shared" si="4"/>
        <v>6.3364630996328968</v>
      </c>
      <c r="T29" s="19">
        <f t="shared" si="5"/>
        <v>1.8463207420610033</v>
      </c>
      <c r="U29" s="25"/>
      <c r="V29" s="21"/>
      <c r="W29" s="26"/>
      <c r="AB29" s="51"/>
      <c r="AC29" s="52"/>
      <c r="AD29" s="53"/>
      <c r="AE29" s="54"/>
      <c r="AF29" s="55"/>
      <c r="AG29" s="56"/>
      <c r="AH29" s="51"/>
      <c r="AI29" s="52"/>
      <c r="AJ29" s="53"/>
      <c r="AK29" s="54"/>
      <c r="AL29" s="51"/>
      <c r="AM29" s="52"/>
      <c r="AN29" s="53"/>
      <c r="AO29" s="54"/>
      <c r="AP29" s="51"/>
      <c r="AQ29" s="52"/>
      <c r="AR29" s="53"/>
      <c r="AS29" s="54"/>
    </row>
    <row r="30" spans="1:131" ht="15.6" thickTop="1" thickBot="1" x14ac:dyDescent="0.35">
      <c r="A30" s="24"/>
      <c r="B30" s="17">
        <v>2019</v>
      </c>
      <c r="C30" s="17">
        <v>4037810</v>
      </c>
      <c r="D30" s="17">
        <v>385</v>
      </c>
      <c r="E30" s="18">
        <f t="shared" si="0"/>
        <v>9.5348716259556543</v>
      </c>
      <c r="F30" s="19">
        <f t="shared" si="1"/>
        <v>2.2549557755066525</v>
      </c>
      <c r="G30" s="25"/>
      <c r="H30" s="21"/>
      <c r="I30" s="26"/>
      <c r="J30" s="17">
        <v>2082294</v>
      </c>
      <c r="K30" s="17">
        <v>226</v>
      </c>
      <c r="L30" s="18">
        <f t="shared" si="2"/>
        <v>10.853414551451429</v>
      </c>
      <c r="M30" s="19">
        <f t="shared" si="3"/>
        <v>2.38447973568007</v>
      </c>
      <c r="N30" s="25"/>
      <c r="O30" s="21"/>
      <c r="P30" s="26"/>
      <c r="Q30" s="17">
        <v>1955516</v>
      </c>
      <c r="R30" s="17">
        <v>159</v>
      </c>
      <c r="S30" s="18">
        <f t="shared" si="4"/>
        <v>8.130846283027088</v>
      </c>
      <c r="T30" s="19">
        <f t="shared" si="5"/>
        <v>2.0956650119956004</v>
      </c>
      <c r="U30" s="25"/>
      <c r="V30" s="21"/>
      <c r="W30" s="26"/>
      <c r="AB30" s="51"/>
      <c r="AC30" s="52"/>
      <c r="AD30" s="53"/>
      <c r="AE30" s="54"/>
      <c r="AF30" s="55"/>
      <c r="AG30" s="56"/>
      <c r="AH30" s="51"/>
      <c r="AI30" s="52"/>
      <c r="AJ30" s="53"/>
      <c r="AK30" s="54"/>
      <c r="AL30" s="51"/>
      <c r="AM30" s="52"/>
      <c r="AN30" s="53"/>
      <c r="AO30" s="54"/>
      <c r="AP30" s="51"/>
      <c r="AQ30" s="52"/>
      <c r="AR30" s="53"/>
      <c r="AS30" s="54"/>
    </row>
    <row r="31" spans="1:131" ht="15.6" thickTop="1" thickBot="1" x14ac:dyDescent="0.35">
      <c r="A31" s="24"/>
      <c r="B31" s="17">
        <v>2020</v>
      </c>
      <c r="C31" s="17">
        <v>4064935</v>
      </c>
      <c r="D31" s="17">
        <v>434</v>
      </c>
      <c r="E31" s="18">
        <f t="shared" si="0"/>
        <v>10.676677486847883</v>
      </c>
      <c r="F31" s="19">
        <f t="shared" si="1"/>
        <v>2.3680616883943308</v>
      </c>
      <c r="G31" s="25"/>
      <c r="H31" s="21"/>
      <c r="I31" s="26"/>
      <c r="J31" s="17">
        <v>2096205</v>
      </c>
      <c r="K31" s="17">
        <v>272</v>
      </c>
      <c r="L31" s="18">
        <f t="shared" si="2"/>
        <v>12.975830131117903</v>
      </c>
      <c r="M31" s="19">
        <f t="shared" si="3"/>
        <v>2.5630884062822754</v>
      </c>
      <c r="N31" s="25"/>
      <c r="O31" s="21"/>
      <c r="P31" s="26"/>
      <c r="Q31" s="17">
        <v>1968730</v>
      </c>
      <c r="R31" s="17">
        <v>162</v>
      </c>
      <c r="S31" s="18">
        <f t="shared" si="4"/>
        <v>8.2286550212573584</v>
      </c>
      <c r="T31" s="19">
        <f t="shared" si="5"/>
        <v>2.1076225774282911</v>
      </c>
      <c r="U31" s="25"/>
      <c r="V31" s="21"/>
      <c r="W31" s="26"/>
      <c r="AB31" s="51"/>
      <c r="AC31" s="52"/>
      <c r="AD31" s="53"/>
      <c r="AE31" s="54"/>
      <c r="AF31" s="55"/>
      <c r="AG31" s="56"/>
      <c r="AH31" s="51"/>
      <c r="AI31" s="52"/>
      <c r="AJ31" s="53"/>
      <c r="AK31" s="54"/>
      <c r="AL31" s="51"/>
      <c r="AM31" s="52"/>
      <c r="AN31" s="53"/>
      <c r="AO31" s="54"/>
      <c r="AP31" s="51"/>
      <c r="AQ31" s="52"/>
      <c r="AR31" s="53"/>
      <c r="AS31" s="54"/>
    </row>
    <row r="32" spans="1:131" ht="15.6" thickTop="1" thickBot="1" x14ac:dyDescent="0.35">
      <c r="A32" s="33"/>
      <c r="B32" s="17">
        <v>2021</v>
      </c>
      <c r="C32" s="17">
        <v>4087783</v>
      </c>
      <c r="D32" s="17">
        <v>524</v>
      </c>
      <c r="E32" s="18">
        <f t="shared" si="0"/>
        <v>12.818684357755782</v>
      </c>
      <c r="F32" s="19">
        <f t="shared" si="1"/>
        <v>2.5509038220262834</v>
      </c>
      <c r="G32" s="34"/>
      <c r="H32" s="21"/>
      <c r="I32" s="35"/>
      <c r="J32" s="17">
        <v>2108197</v>
      </c>
      <c r="K32" s="17">
        <v>336</v>
      </c>
      <c r="L32" s="18">
        <f t="shared" si="2"/>
        <v>15.9377894950045</v>
      </c>
      <c r="M32" s="19">
        <f t="shared" si="3"/>
        <v>2.7686929871461134</v>
      </c>
      <c r="N32" s="34"/>
      <c r="O32" s="21"/>
      <c r="P32" s="35"/>
      <c r="Q32" s="17">
        <v>1979586</v>
      </c>
      <c r="R32" s="17">
        <v>188</v>
      </c>
      <c r="S32" s="18">
        <f t="shared" si="4"/>
        <v>9.4969352177677564</v>
      </c>
      <c r="T32" s="19">
        <f t="shared" si="5"/>
        <v>2.2509691379011025</v>
      </c>
      <c r="U32" s="34"/>
      <c r="V32" s="21"/>
      <c r="W32" s="35"/>
      <c r="AB32" s="51"/>
      <c r="AC32" s="52"/>
      <c r="AD32" s="53"/>
      <c r="AE32" s="54"/>
      <c r="AF32" s="55"/>
      <c r="AG32" s="56"/>
      <c r="AH32" s="51"/>
      <c r="AI32" s="52"/>
      <c r="AJ32" s="53"/>
      <c r="AK32" s="54"/>
      <c r="AL32" s="51"/>
      <c r="AM32" s="52"/>
      <c r="AN32" s="53"/>
      <c r="AO32" s="54"/>
      <c r="AP32" s="51"/>
      <c r="AQ32" s="52"/>
      <c r="AR32" s="53"/>
      <c r="AS32" s="54"/>
    </row>
    <row r="33" spans="1:45" ht="15.6" thickTop="1" thickBot="1" x14ac:dyDescent="0.35">
      <c r="A33" s="38" t="s">
        <v>298</v>
      </c>
      <c r="B33" s="39">
        <v>2016</v>
      </c>
      <c r="C33" s="39">
        <v>9262684</v>
      </c>
      <c r="D33" s="39">
        <v>644</v>
      </c>
      <c r="E33" s="18">
        <f t="shared" si="0"/>
        <v>6.952628417421991</v>
      </c>
      <c r="F33" s="19">
        <f t="shared" si="1"/>
        <v>1.9391197776381766</v>
      </c>
      <c r="G33" s="20">
        <v>8.3699999999999997E-2</v>
      </c>
      <c r="H33" s="21">
        <f t="shared" ref="H33" si="10">(EXP(G33)-1)*100</f>
        <v>8.730265407908977</v>
      </c>
      <c r="I33" s="41">
        <v>5.4999999999999997E-3</v>
      </c>
      <c r="J33" s="39">
        <v>4811429</v>
      </c>
      <c r="K33" s="39">
        <v>410</v>
      </c>
      <c r="L33" s="18">
        <f t="shared" si="2"/>
        <v>8.5213769131790151</v>
      </c>
      <c r="M33" s="19">
        <f t="shared" si="3"/>
        <v>2.1425779373118647</v>
      </c>
      <c r="N33" s="20">
        <v>9.4299999999999995E-2</v>
      </c>
      <c r="O33" s="21">
        <f t="shared" ref="O33" si="11">(EXP(N33)-1)*100</f>
        <v>9.8889363281081444</v>
      </c>
      <c r="P33" s="41">
        <v>2.2899999999999999E-3</v>
      </c>
      <c r="Q33" s="39">
        <v>4451255</v>
      </c>
      <c r="R33" s="39">
        <v>234</v>
      </c>
      <c r="S33" s="18">
        <f t="shared" si="4"/>
        <v>5.2569443898406183</v>
      </c>
      <c r="T33" s="19">
        <f t="shared" si="5"/>
        <v>1.6595499434744587</v>
      </c>
      <c r="U33" s="20">
        <v>6.6000000000000003E-2</v>
      </c>
      <c r="V33" s="21">
        <f t="shared" ref="V33" si="12">(EXP(U33)-1)*100</f>
        <v>6.8226717165993378</v>
      </c>
      <c r="W33" s="41">
        <v>3.61E-2</v>
      </c>
      <c r="AB33" s="51"/>
      <c r="AC33" s="52"/>
      <c r="AD33" s="53"/>
      <c r="AE33" s="54"/>
      <c r="AF33" s="55"/>
      <c r="AG33" s="56"/>
      <c r="AH33" s="51"/>
      <c r="AI33" s="52"/>
      <c r="AJ33" s="53"/>
      <c r="AK33" s="54"/>
      <c r="AL33" s="51"/>
      <c r="AM33" s="52"/>
      <c r="AN33" s="53"/>
      <c r="AO33" s="54"/>
      <c r="AP33" s="51"/>
      <c r="AQ33" s="52"/>
      <c r="AR33" s="53"/>
      <c r="AS33" s="54"/>
    </row>
    <row r="34" spans="1:45" ht="15.6" thickTop="1" thickBot="1" x14ac:dyDescent="0.35">
      <c r="A34" s="43"/>
      <c r="B34" s="39">
        <v>2017</v>
      </c>
      <c r="C34" s="39">
        <v>9304183</v>
      </c>
      <c r="D34" s="39">
        <v>783</v>
      </c>
      <c r="E34" s="18">
        <f t="shared" si="0"/>
        <v>8.4155696421706239</v>
      </c>
      <c r="F34" s="19">
        <f t="shared" si="1"/>
        <v>2.1300835190142382</v>
      </c>
      <c r="G34" s="25"/>
      <c r="H34" s="21"/>
      <c r="I34" s="45"/>
      <c r="J34" s="39">
        <v>4833115</v>
      </c>
      <c r="K34" s="39">
        <v>494</v>
      </c>
      <c r="L34" s="18">
        <f t="shared" si="2"/>
        <v>10.221151369251508</v>
      </c>
      <c r="M34" s="19">
        <f t="shared" si="3"/>
        <v>2.3244592368695551</v>
      </c>
      <c r="N34" s="25"/>
      <c r="O34" s="21"/>
      <c r="P34" s="45"/>
      <c r="Q34" s="39">
        <v>4471068</v>
      </c>
      <c r="R34" s="39">
        <v>289</v>
      </c>
      <c r="S34" s="18">
        <f t="shared" si="4"/>
        <v>6.46378001855485</v>
      </c>
      <c r="T34" s="19">
        <f t="shared" si="5"/>
        <v>1.866214288856725</v>
      </c>
      <c r="U34" s="25"/>
      <c r="V34" s="21"/>
      <c r="W34" s="45"/>
      <c r="AB34" s="51"/>
      <c r="AC34" s="52"/>
      <c r="AD34" s="53"/>
      <c r="AE34" s="54"/>
      <c r="AF34" s="55"/>
      <c r="AG34" s="56"/>
      <c r="AH34" s="51"/>
      <c r="AI34" s="52"/>
      <c r="AJ34" s="53"/>
      <c r="AK34" s="54"/>
      <c r="AL34" s="51"/>
      <c r="AM34" s="52"/>
      <c r="AN34" s="53"/>
      <c r="AO34" s="54"/>
      <c r="AP34" s="51"/>
      <c r="AQ34" s="52"/>
      <c r="AR34" s="53"/>
      <c r="AS34" s="54"/>
    </row>
    <row r="35" spans="1:45" ht="15.6" thickTop="1" thickBot="1" x14ac:dyDescent="0.35">
      <c r="A35" s="43"/>
      <c r="B35" s="39">
        <v>2018</v>
      </c>
      <c r="C35" s="39">
        <v>9348293</v>
      </c>
      <c r="D35" s="39">
        <v>732</v>
      </c>
      <c r="E35" s="18">
        <f t="shared" si="0"/>
        <v>7.8303065597109542</v>
      </c>
      <c r="F35" s="19">
        <f t="shared" si="1"/>
        <v>2.0580016611789449</v>
      </c>
      <c r="G35" s="25"/>
      <c r="H35" s="21"/>
      <c r="I35" s="45"/>
      <c r="J35" s="39">
        <v>4855798</v>
      </c>
      <c r="K35" s="39">
        <v>489</v>
      </c>
      <c r="L35" s="18">
        <f t="shared" si="2"/>
        <v>10.070435384667979</v>
      </c>
      <c r="M35" s="19">
        <f t="shared" si="3"/>
        <v>2.3096039416119152</v>
      </c>
      <c r="N35" s="25"/>
      <c r="O35" s="21"/>
      <c r="P35" s="45"/>
      <c r="Q35" s="39">
        <v>4492495</v>
      </c>
      <c r="R35" s="39">
        <v>243</v>
      </c>
      <c r="S35" s="18">
        <f t="shared" si="4"/>
        <v>5.4090210450985472</v>
      </c>
      <c r="T35" s="19">
        <f t="shared" si="5"/>
        <v>1.6880681236375996</v>
      </c>
      <c r="U35" s="25"/>
      <c r="V35" s="21"/>
      <c r="W35" s="45"/>
      <c r="AB35" s="51"/>
      <c r="AC35" s="52"/>
      <c r="AD35" s="53"/>
      <c r="AE35" s="54"/>
      <c r="AF35" s="55"/>
      <c r="AG35" s="56"/>
      <c r="AH35" s="51"/>
      <c r="AI35" s="52"/>
      <c r="AJ35" s="53"/>
      <c r="AK35" s="54"/>
      <c r="AL35" s="51"/>
      <c r="AM35" s="52"/>
      <c r="AN35" s="53"/>
      <c r="AO35" s="54"/>
      <c r="AP35" s="51"/>
      <c r="AQ35" s="52"/>
      <c r="AR35" s="53"/>
      <c r="AS35" s="54"/>
    </row>
    <row r="36" spans="1:45" ht="15.6" thickTop="1" thickBot="1" x14ac:dyDescent="0.35">
      <c r="A36" s="43"/>
      <c r="B36" s="39">
        <v>2019</v>
      </c>
      <c r="C36" s="39">
        <v>9396505</v>
      </c>
      <c r="D36" s="39">
        <v>833</v>
      </c>
      <c r="E36" s="18">
        <f t="shared" si="0"/>
        <v>8.8649982094406372</v>
      </c>
      <c r="F36" s="19">
        <f t="shared" si="1"/>
        <v>2.1821107375453992</v>
      </c>
      <c r="G36" s="25"/>
      <c r="H36" s="21"/>
      <c r="I36" s="45"/>
      <c r="J36" s="39">
        <v>4880374</v>
      </c>
      <c r="K36" s="39">
        <v>532</v>
      </c>
      <c r="L36" s="18">
        <f t="shared" si="2"/>
        <v>10.900803913798409</v>
      </c>
      <c r="M36" s="19">
        <f t="shared" si="3"/>
        <v>2.3888365400749252</v>
      </c>
      <c r="N36" s="25"/>
      <c r="O36" s="21"/>
      <c r="P36" s="45"/>
      <c r="Q36" s="39">
        <v>4516131</v>
      </c>
      <c r="R36" s="39">
        <v>301</v>
      </c>
      <c r="S36" s="18">
        <f t="shared" si="4"/>
        <v>6.6649970959655507</v>
      </c>
      <c r="T36" s="19">
        <f t="shared" si="5"/>
        <v>1.8968695179164812</v>
      </c>
      <c r="U36" s="25"/>
      <c r="V36" s="21"/>
      <c r="W36" s="45"/>
      <c r="AB36" s="51"/>
      <c r="AC36" s="52"/>
      <c r="AD36" s="53"/>
      <c r="AE36" s="54"/>
      <c r="AF36" s="55"/>
      <c r="AG36" s="56"/>
      <c r="AH36" s="51"/>
      <c r="AI36" s="52"/>
      <c r="AJ36" s="53"/>
      <c r="AK36" s="54"/>
      <c r="AL36" s="51"/>
      <c r="AM36" s="52"/>
      <c r="AN36" s="53"/>
      <c r="AO36" s="54"/>
      <c r="AP36" s="51"/>
      <c r="AQ36" s="52"/>
      <c r="AR36" s="53"/>
      <c r="AS36" s="54"/>
    </row>
    <row r="37" spans="1:45" ht="15.6" thickTop="1" thickBot="1" x14ac:dyDescent="0.35">
      <c r="A37" s="43"/>
      <c r="B37" s="39">
        <v>2020</v>
      </c>
      <c r="C37" s="39">
        <v>9438962</v>
      </c>
      <c r="D37" s="39">
        <v>993</v>
      </c>
      <c r="E37" s="18">
        <f t="shared" si="0"/>
        <v>10.520224575541251</v>
      </c>
      <c r="F37" s="19">
        <f t="shared" si="1"/>
        <v>2.3532995545666191</v>
      </c>
      <c r="G37" s="25"/>
      <c r="H37" s="21"/>
      <c r="I37" s="45"/>
      <c r="J37" s="39">
        <v>4902647</v>
      </c>
      <c r="K37" s="39">
        <v>669</v>
      </c>
      <c r="L37" s="18">
        <f t="shared" si="2"/>
        <v>13.645689767180871</v>
      </c>
      <c r="M37" s="19">
        <f t="shared" si="3"/>
        <v>2.6134237037936678</v>
      </c>
      <c r="N37" s="25"/>
      <c r="O37" s="21"/>
      <c r="P37" s="45"/>
      <c r="Q37" s="39">
        <v>4536315</v>
      </c>
      <c r="R37" s="39">
        <v>324</v>
      </c>
      <c r="S37" s="18">
        <f t="shared" si="4"/>
        <v>7.1423611455553679</v>
      </c>
      <c r="T37" s="19">
        <f t="shared" si="5"/>
        <v>1.966043414339542</v>
      </c>
      <c r="U37" s="25"/>
      <c r="V37" s="21"/>
      <c r="W37" s="45"/>
      <c r="AB37" s="51"/>
      <c r="AC37" s="52"/>
      <c r="AD37" s="53"/>
      <c r="AE37" s="54"/>
      <c r="AF37" s="55"/>
      <c r="AG37" s="56"/>
      <c r="AH37" s="51"/>
      <c r="AI37" s="52"/>
      <c r="AJ37" s="53"/>
      <c r="AK37" s="54"/>
      <c r="AL37" s="51"/>
      <c r="AM37" s="52"/>
      <c r="AN37" s="53"/>
      <c r="AO37" s="54"/>
      <c r="AP37" s="51"/>
      <c r="AQ37" s="52"/>
      <c r="AR37" s="53"/>
      <c r="AS37" s="54"/>
    </row>
    <row r="38" spans="1:45" ht="15.6" thickTop="1" thickBot="1" x14ac:dyDescent="0.35">
      <c r="A38" s="47"/>
      <c r="B38" s="39">
        <v>2021</v>
      </c>
      <c r="C38" s="39">
        <v>9470176</v>
      </c>
      <c r="D38" s="39">
        <v>1012</v>
      </c>
      <c r="E38" s="18">
        <f t="shared" si="0"/>
        <v>10.686179433201664</v>
      </c>
      <c r="F38" s="19">
        <f t="shared" si="1"/>
        <v>2.3689512648227975</v>
      </c>
      <c r="G38" s="34"/>
      <c r="H38" s="21"/>
      <c r="I38" s="49"/>
      <c r="J38" s="39">
        <v>4919645</v>
      </c>
      <c r="K38" s="39">
        <v>670</v>
      </c>
      <c r="L38" s="18">
        <f t="shared" si="2"/>
        <v>13.618868841146057</v>
      </c>
      <c r="M38" s="19">
        <f t="shared" si="3"/>
        <v>2.6114562459615529</v>
      </c>
      <c r="N38" s="34"/>
      <c r="O38" s="21"/>
      <c r="P38" s="49"/>
      <c r="Q38" s="39">
        <v>4550531</v>
      </c>
      <c r="R38" s="39">
        <v>342</v>
      </c>
      <c r="S38" s="18">
        <f t="shared" si="4"/>
        <v>7.5156064204375266</v>
      </c>
      <c r="T38" s="19">
        <f t="shared" si="5"/>
        <v>2.0169817146182969</v>
      </c>
      <c r="U38" s="34"/>
      <c r="V38" s="21"/>
      <c r="W38" s="49"/>
      <c r="AB38" s="51"/>
      <c r="AC38" s="52"/>
      <c r="AD38" s="53"/>
      <c r="AE38" s="54"/>
      <c r="AF38" s="55"/>
      <c r="AG38" s="56"/>
      <c r="AH38" s="51"/>
      <c r="AI38" s="52"/>
      <c r="AJ38" s="53"/>
      <c r="AK38" s="54"/>
      <c r="AL38" s="51"/>
      <c r="AM38" s="52"/>
      <c r="AN38" s="53"/>
      <c r="AO38" s="54"/>
      <c r="AP38" s="51"/>
      <c r="AQ38" s="52"/>
      <c r="AR38" s="53"/>
      <c r="AS38" s="54"/>
    </row>
    <row r="39" spans="1:45" ht="15.6" thickTop="1" thickBot="1" x14ac:dyDescent="0.35">
      <c r="A39" s="16" t="s">
        <v>299</v>
      </c>
      <c r="B39" s="17">
        <v>2016</v>
      </c>
      <c r="C39" s="17">
        <v>3271094</v>
      </c>
      <c r="D39" s="17">
        <v>163</v>
      </c>
      <c r="E39" s="18">
        <f t="shared" si="0"/>
        <v>4.9830423705341387</v>
      </c>
      <c r="F39" s="19">
        <f t="shared" si="1"/>
        <v>1.6060406222802028</v>
      </c>
      <c r="G39" s="20">
        <v>9.5699999999999993E-2</v>
      </c>
      <c r="H39" s="21">
        <f t="shared" ref="H39" si="13">(EXP(G39)-1)*100</f>
        <v>10.042888580398547</v>
      </c>
      <c r="I39" s="22">
        <v>1.8E-3</v>
      </c>
      <c r="J39" s="17">
        <v>1667619</v>
      </c>
      <c r="K39" s="17">
        <v>93</v>
      </c>
      <c r="L39" s="18">
        <f t="shared" si="2"/>
        <v>5.5768134088182011</v>
      </c>
      <c r="M39" s="19">
        <f t="shared" si="3"/>
        <v>1.7186175395800392</v>
      </c>
      <c r="N39" s="20">
        <v>8.43E-2</v>
      </c>
      <c r="O39" s="21">
        <f t="shared" ref="O39" si="14">(EXP(N39)-1)*100</f>
        <v>8.7955231425163696</v>
      </c>
      <c r="P39" s="22">
        <v>2.1600000000000001E-2</v>
      </c>
      <c r="Q39" s="17">
        <v>1603475</v>
      </c>
      <c r="R39" s="17">
        <v>70</v>
      </c>
      <c r="S39" s="18">
        <f t="shared" si="4"/>
        <v>4.365518639205475</v>
      </c>
      <c r="T39" s="19">
        <f t="shared" si="5"/>
        <v>1.4737369999206973</v>
      </c>
      <c r="U39" s="20">
        <v>0.11310000000000001</v>
      </c>
      <c r="V39" s="21">
        <f t="shared" ref="V39" si="15">(EXP(U39)-1)*100</f>
        <v>11.974390174022709</v>
      </c>
      <c r="W39" s="22">
        <v>6.7000000000000002E-3</v>
      </c>
      <c r="AB39" s="51"/>
      <c r="AC39" s="52"/>
      <c r="AD39" s="53"/>
      <c r="AE39" s="54"/>
      <c r="AF39" s="55"/>
      <c r="AG39" s="56"/>
      <c r="AH39" s="51"/>
      <c r="AI39" s="52"/>
      <c r="AJ39" s="53"/>
      <c r="AK39" s="54"/>
      <c r="AL39" s="51"/>
      <c r="AM39" s="52"/>
      <c r="AN39" s="53"/>
      <c r="AO39" s="54"/>
      <c r="AP39" s="51"/>
      <c r="AQ39" s="52"/>
      <c r="AR39" s="53"/>
      <c r="AS39" s="54"/>
    </row>
    <row r="40" spans="1:45" ht="15.6" thickTop="1" thickBot="1" x14ac:dyDescent="0.35">
      <c r="A40" s="24"/>
      <c r="B40" s="17">
        <v>2017</v>
      </c>
      <c r="C40" s="17">
        <v>3285746</v>
      </c>
      <c r="D40" s="17">
        <v>173</v>
      </c>
      <c r="E40" s="18">
        <f t="shared" si="0"/>
        <v>5.2651665710009237</v>
      </c>
      <c r="F40" s="19">
        <f t="shared" si="1"/>
        <v>1.6611127825025658</v>
      </c>
      <c r="G40" s="25"/>
      <c r="H40" s="21"/>
      <c r="I40" s="26"/>
      <c r="J40" s="17">
        <v>1675605</v>
      </c>
      <c r="K40" s="17">
        <v>111</v>
      </c>
      <c r="L40" s="18">
        <f t="shared" si="2"/>
        <v>6.6244729515607794</v>
      </c>
      <c r="M40" s="19">
        <f t="shared" si="3"/>
        <v>1.8907708142262685</v>
      </c>
      <c r="N40" s="25"/>
      <c r="O40" s="21"/>
      <c r="P40" s="26"/>
      <c r="Q40" s="17">
        <v>1610141</v>
      </c>
      <c r="R40" s="17">
        <v>62</v>
      </c>
      <c r="S40" s="18">
        <f t="shared" si="4"/>
        <v>3.8505944510449708</v>
      </c>
      <c r="T40" s="19">
        <f t="shared" si="5"/>
        <v>1.3482275392496204</v>
      </c>
      <c r="U40" s="25"/>
      <c r="V40" s="21"/>
      <c r="W40" s="26"/>
      <c r="AB40" s="51"/>
      <c r="AC40" s="52"/>
      <c r="AD40" s="53"/>
      <c r="AE40" s="54"/>
      <c r="AF40" s="55"/>
      <c r="AG40" s="56"/>
      <c r="AH40" s="51"/>
      <c r="AI40" s="52"/>
      <c r="AJ40" s="53"/>
      <c r="AK40" s="54"/>
      <c r="AL40" s="51"/>
      <c r="AM40" s="52"/>
      <c r="AN40" s="53"/>
      <c r="AO40" s="54"/>
      <c r="AP40" s="51"/>
      <c r="AQ40" s="52"/>
      <c r="AR40" s="53"/>
      <c r="AS40" s="54"/>
    </row>
    <row r="41" spans="1:45" ht="15.6" thickTop="1" thickBot="1" x14ac:dyDescent="0.35">
      <c r="A41" s="24"/>
      <c r="B41" s="17">
        <v>2018</v>
      </c>
      <c r="C41" s="17">
        <v>3302227</v>
      </c>
      <c r="D41" s="17">
        <v>175</v>
      </c>
      <c r="E41" s="18">
        <f t="shared" si="0"/>
        <v>5.2994539745450568</v>
      </c>
      <c r="F41" s="19">
        <f t="shared" si="1"/>
        <v>1.6676037915800292</v>
      </c>
      <c r="G41" s="25"/>
      <c r="H41" s="21"/>
      <c r="I41" s="26"/>
      <c r="J41" s="17">
        <v>1648307</v>
      </c>
      <c r="K41" s="17">
        <v>98</v>
      </c>
      <c r="L41" s="18">
        <f t="shared" si="2"/>
        <v>5.94549437695769</v>
      </c>
      <c r="M41" s="19">
        <f t="shared" si="3"/>
        <v>1.7826336851306375</v>
      </c>
      <c r="N41" s="25"/>
      <c r="O41" s="21"/>
      <c r="P41" s="26"/>
      <c r="Q41" s="17">
        <v>1617920</v>
      </c>
      <c r="R41" s="17">
        <v>77</v>
      </c>
      <c r="S41" s="18">
        <f t="shared" si="4"/>
        <v>4.7591969936708862</v>
      </c>
      <c r="T41" s="19">
        <f t="shared" si="5"/>
        <v>1.5600789552034466</v>
      </c>
      <c r="U41" s="25"/>
      <c r="V41" s="21"/>
      <c r="W41" s="26"/>
      <c r="AB41" s="51"/>
      <c r="AC41" s="52"/>
      <c r="AD41" s="53"/>
      <c r="AE41" s="54"/>
      <c r="AF41" s="55"/>
      <c r="AG41" s="56"/>
      <c r="AH41" s="51"/>
      <c r="AI41" s="52"/>
      <c r="AJ41" s="53"/>
      <c r="AK41" s="54"/>
      <c r="AL41" s="51"/>
      <c r="AM41" s="52"/>
      <c r="AN41" s="53"/>
      <c r="AO41" s="54"/>
      <c r="AP41" s="51"/>
      <c r="AQ41" s="52"/>
      <c r="AR41" s="53"/>
      <c r="AS41" s="54"/>
    </row>
    <row r="42" spans="1:45" ht="15.6" thickTop="1" thickBot="1" x14ac:dyDescent="0.35">
      <c r="A42" s="24"/>
      <c r="B42" s="17">
        <v>2019</v>
      </c>
      <c r="C42" s="17">
        <v>3320228</v>
      </c>
      <c r="D42" s="17">
        <v>223</v>
      </c>
      <c r="E42" s="18">
        <f t="shared" si="0"/>
        <v>6.7164062227051877</v>
      </c>
      <c r="F42" s="19">
        <f t="shared" si="1"/>
        <v>1.9045532231968798</v>
      </c>
      <c r="G42" s="25"/>
      <c r="H42" s="21"/>
      <c r="I42" s="26"/>
      <c r="J42" s="17">
        <v>1693536</v>
      </c>
      <c r="K42" s="17">
        <v>139</v>
      </c>
      <c r="L42" s="18">
        <f t="shared" si="2"/>
        <v>8.2076790809288962</v>
      </c>
      <c r="M42" s="19">
        <f t="shared" si="3"/>
        <v>2.1050701893366779</v>
      </c>
      <c r="N42" s="25"/>
      <c r="O42" s="21"/>
      <c r="P42" s="26"/>
      <c r="Q42" s="17">
        <v>1626692</v>
      </c>
      <c r="R42" s="17">
        <v>84</v>
      </c>
      <c r="S42" s="18">
        <f t="shared" si="4"/>
        <v>5.1638540055523725</v>
      </c>
      <c r="T42" s="19">
        <f t="shared" si="5"/>
        <v>1.6416832010030999</v>
      </c>
      <c r="U42" s="25"/>
      <c r="V42" s="21"/>
      <c r="W42" s="26"/>
      <c r="AB42" s="51"/>
      <c r="AC42" s="52"/>
      <c r="AD42" s="53"/>
      <c r="AE42" s="54"/>
      <c r="AF42" s="55"/>
      <c r="AG42" s="56"/>
      <c r="AH42" s="51"/>
      <c r="AI42" s="52"/>
      <c r="AJ42" s="53"/>
      <c r="AK42" s="54"/>
      <c r="AL42" s="51"/>
      <c r="AM42" s="52"/>
      <c r="AN42" s="53"/>
      <c r="AO42" s="54"/>
      <c r="AP42" s="51"/>
      <c r="AQ42" s="52"/>
      <c r="AR42" s="53"/>
      <c r="AS42" s="54"/>
    </row>
    <row r="43" spans="1:45" ht="15.6" thickTop="1" thickBot="1" x14ac:dyDescent="0.35">
      <c r="A43" s="24"/>
      <c r="B43" s="17">
        <v>2020</v>
      </c>
      <c r="C43" s="17">
        <v>3335863</v>
      </c>
      <c r="D43" s="17">
        <v>235</v>
      </c>
      <c r="E43" s="18">
        <f t="shared" si="0"/>
        <v>7.0446538122219051</v>
      </c>
      <c r="F43" s="19">
        <f t="shared" si="1"/>
        <v>1.9522690046431743</v>
      </c>
      <c r="G43" s="25"/>
      <c r="H43" s="21"/>
      <c r="I43" s="26"/>
      <c r="J43" s="17">
        <v>1701793</v>
      </c>
      <c r="K43" s="17">
        <v>130</v>
      </c>
      <c r="L43" s="18">
        <f t="shared" si="2"/>
        <v>7.6390019232656377</v>
      </c>
      <c r="M43" s="19">
        <f t="shared" si="3"/>
        <v>2.0332669563284851</v>
      </c>
      <c r="N43" s="25"/>
      <c r="O43" s="21"/>
      <c r="P43" s="26"/>
      <c r="Q43" s="17">
        <v>1634070</v>
      </c>
      <c r="R43" s="17">
        <v>105</v>
      </c>
      <c r="S43" s="18">
        <f t="shared" si="4"/>
        <v>6.4256733187684736</v>
      </c>
      <c r="T43" s="19">
        <f t="shared" si="5"/>
        <v>1.8603014219859757</v>
      </c>
      <c r="U43" s="25"/>
      <c r="V43" s="21"/>
      <c r="W43" s="26"/>
      <c r="AB43" s="51"/>
      <c r="AC43" s="52"/>
      <c r="AD43" s="53"/>
      <c r="AE43" s="54"/>
      <c r="AF43" s="55"/>
      <c r="AG43" s="56"/>
      <c r="AH43" s="51"/>
      <c r="AI43" s="52"/>
      <c r="AJ43" s="53"/>
      <c r="AK43" s="54"/>
      <c r="AL43" s="51"/>
      <c r="AM43" s="52"/>
      <c r="AN43" s="53"/>
      <c r="AO43" s="54"/>
      <c r="AP43" s="51"/>
      <c r="AQ43" s="52"/>
      <c r="AR43" s="53"/>
      <c r="AS43" s="54"/>
    </row>
    <row r="44" spans="1:45" ht="15.6" thickTop="1" thickBot="1" x14ac:dyDescent="0.35">
      <c r="A44" s="33"/>
      <c r="B44" s="17">
        <v>2021</v>
      </c>
      <c r="C44" s="17">
        <v>3347856</v>
      </c>
      <c r="D44" s="17">
        <v>262</v>
      </c>
      <c r="E44" s="18">
        <f t="shared" si="0"/>
        <v>7.8259041010127079</v>
      </c>
      <c r="F44" s="19">
        <f t="shared" si="1"/>
        <v>2.0574392698174995</v>
      </c>
      <c r="G44" s="34"/>
      <c r="H44" s="21"/>
      <c r="I44" s="35"/>
      <c r="J44" s="17">
        <v>1708534</v>
      </c>
      <c r="K44" s="17">
        <v>148</v>
      </c>
      <c r="L44" s="18">
        <f t="shared" si="2"/>
        <v>8.6623971194017795</v>
      </c>
      <c r="M44" s="19">
        <f t="shared" si="3"/>
        <v>2.1589914878973597</v>
      </c>
      <c r="N44" s="34"/>
      <c r="O44" s="21"/>
      <c r="P44" s="35"/>
      <c r="Q44" s="17">
        <v>1639322</v>
      </c>
      <c r="R44" s="17">
        <v>114</v>
      </c>
      <c r="S44" s="18">
        <f t="shared" si="4"/>
        <v>6.9540944366024497</v>
      </c>
      <c r="T44" s="19">
        <f t="shared" si="5"/>
        <v>1.9393306136778787</v>
      </c>
      <c r="U44" s="34"/>
      <c r="V44" s="21"/>
      <c r="W44" s="35"/>
      <c r="AB44" s="51"/>
      <c r="AC44" s="52"/>
      <c r="AD44" s="53"/>
      <c r="AE44" s="54"/>
      <c r="AF44" s="55"/>
      <c r="AG44" s="56"/>
      <c r="AH44" s="51"/>
      <c r="AI44" s="52"/>
      <c r="AJ44" s="53"/>
      <c r="AK44" s="54"/>
      <c r="AL44" s="51"/>
      <c r="AM44" s="52"/>
      <c r="AN44" s="53"/>
      <c r="AO44" s="54"/>
      <c r="AP44" s="51"/>
      <c r="AQ44" s="52"/>
      <c r="AR44" s="53"/>
      <c r="AS44" s="54"/>
    </row>
    <row r="45" spans="1:45" ht="15.6" thickTop="1" thickBot="1" x14ac:dyDescent="0.35">
      <c r="A45" s="57" t="s">
        <v>300</v>
      </c>
      <c r="B45" s="58">
        <v>2016</v>
      </c>
      <c r="C45" s="58">
        <v>3342283</v>
      </c>
      <c r="D45" s="58">
        <v>292</v>
      </c>
      <c r="E45" s="18">
        <f t="shared" si="0"/>
        <v>8.7365432550146114</v>
      </c>
      <c r="F45" s="19">
        <f>LN(E45)</f>
        <v>2.1675146028537329</v>
      </c>
      <c r="G45" s="20" t="s">
        <v>221</v>
      </c>
      <c r="H45" s="21">
        <f>(EXP(0.0491)-1)*100</f>
        <v>5.0325378026379042</v>
      </c>
      <c r="I45" s="59" t="s">
        <v>301</v>
      </c>
      <c r="J45" s="58">
        <v>1712220</v>
      </c>
      <c r="K45" s="58">
        <v>192</v>
      </c>
      <c r="L45" s="18">
        <f t="shared" si="2"/>
        <v>11.21351228230017</v>
      </c>
      <c r="M45" s="19">
        <f t="shared" si="3"/>
        <v>2.4171195048973062</v>
      </c>
      <c r="N45" s="20" t="s">
        <v>224</v>
      </c>
      <c r="O45" s="21">
        <f>(EXP(0.0406)-1)*100</f>
        <v>4.1435448040317846</v>
      </c>
      <c r="P45" s="59" t="s">
        <v>302</v>
      </c>
      <c r="Q45" s="58">
        <v>1630063</v>
      </c>
      <c r="R45" s="58">
        <v>100</v>
      </c>
      <c r="S45" s="18">
        <f t="shared" si="4"/>
        <v>6.134732215871411</v>
      </c>
      <c r="T45" s="19">
        <f t="shared" si="5"/>
        <v>1.8139664286155301</v>
      </c>
      <c r="U45" s="20">
        <v>6.5299999999999997E-2</v>
      </c>
      <c r="V45" s="21">
        <f t="shared" ref="V45" si="16">(EXP(U45)-1)*100</f>
        <v>6.7479220118466632</v>
      </c>
      <c r="W45" s="41" t="s">
        <v>303</v>
      </c>
      <c r="AB45" s="51"/>
      <c r="AC45" s="52"/>
      <c r="AD45" s="53"/>
      <c r="AE45" s="54"/>
      <c r="AF45" s="55"/>
      <c r="AG45" s="56"/>
      <c r="AH45" s="51"/>
      <c r="AI45" s="52"/>
      <c r="AJ45" s="53"/>
      <c r="AK45" s="54"/>
      <c r="AL45" s="51"/>
      <c r="AM45" s="52"/>
      <c r="AN45" s="53"/>
      <c r="AO45" s="54"/>
      <c r="AP45" s="51"/>
      <c r="AQ45" s="52"/>
      <c r="AR45" s="53"/>
      <c r="AS45" s="54"/>
    </row>
    <row r="46" spans="1:45" ht="15.6" thickTop="1" thickBot="1" x14ac:dyDescent="0.35">
      <c r="A46" s="60"/>
      <c r="B46" s="58">
        <v>2017</v>
      </c>
      <c r="C46" s="58">
        <v>3359217</v>
      </c>
      <c r="D46" s="58">
        <v>367</v>
      </c>
      <c r="E46" s="18">
        <f t="shared" si="0"/>
        <v>10.925165001248802</v>
      </c>
      <c r="F46" s="19">
        <f t="shared" si="1"/>
        <v>2.3910688439567385</v>
      </c>
      <c r="G46" s="25"/>
      <c r="H46" s="21"/>
      <c r="I46" s="61"/>
      <c r="J46" s="58">
        <v>1721268</v>
      </c>
      <c r="K46" s="58">
        <v>230</v>
      </c>
      <c r="L46" s="18">
        <f t="shared" si="2"/>
        <v>13.362242253966262</v>
      </c>
      <c r="M46" s="19">
        <f t="shared" si="3"/>
        <v>2.5924329874067618</v>
      </c>
      <c r="N46" s="25"/>
      <c r="O46" s="21"/>
      <c r="P46" s="61"/>
      <c r="Q46" s="58">
        <v>1637949</v>
      </c>
      <c r="R46" s="58">
        <v>137</v>
      </c>
      <c r="S46" s="18">
        <f t="shared" si="4"/>
        <v>8.3641187851392207</v>
      </c>
      <c r="T46" s="19">
        <f t="shared" si="5"/>
        <v>2.123950983419058</v>
      </c>
      <c r="U46" s="25"/>
      <c r="V46" s="21"/>
      <c r="W46" s="45"/>
      <c r="AB46" s="51"/>
      <c r="AC46" s="52"/>
      <c r="AD46" s="53"/>
      <c r="AE46" s="54"/>
      <c r="AF46" s="55"/>
      <c r="AG46" s="56"/>
      <c r="AH46" s="51"/>
      <c r="AI46" s="52"/>
      <c r="AJ46" s="53"/>
      <c r="AK46" s="54"/>
      <c r="AL46" s="51"/>
      <c r="AM46" s="52"/>
      <c r="AN46" s="53"/>
      <c r="AO46" s="54"/>
      <c r="AP46" s="51"/>
      <c r="AQ46" s="52"/>
      <c r="AR46" s="53"/>
      <c r="AS46" s="54"/>
    </row>
    <row r="47" spans="1:45" ht="15.6" thickTop="1" thickBot="1" x14ac:dyDescent="0.35">
      <c r="A47" s="60"/>
      <c r="B47" s="58">
        <v>2018</v>
      </c>
      <c r="C47" s="58">
        <v>3375511</v>
      </c>
      <c r="D47" s="58">
        <v>329</v>
      </c>
      <c r="E47" s="18">
        <f t="shared" si="0"/>
        <v>9.7466724297447112</v>
      </c>
      <c r="F47" s="19">
        <f t="shared" si="1"/>
        <v>2.2769259375003705</v>
      </c>
      <c r="G47" s="25"/>
      <c r="H47" s="21"/>
      <c r="I47" s="61"/>
      <c r="J47" s="58">
        <v>1729907</v>
      </c>
      <c r="K47" s="58">
        <v>200</v>
      </c>
      <c r="L47" s="18">
        <f t="shared" si="2"/>
        <v>11.561315145843102</v>
      </c>
      <c r="M47" s="19">
        <f t="shared" si="3"/>
        <v>2.4476646237147084</v>
      </c>
      <c r="N47" s="25"/>
      <c r="O47" s="21"/>
      <c r="P47" s="61"/>
      <c r="Q47" s="58">
        <v>1645604</v>
      </c>
      <c r="R47" s="58">
        <v>129</v>
      </c>
      <c r="S47" s="18">
        <f t="shared" si="4"/>
        <v>7.8390669930311301</v>
      </c>
      <c r="T47" s="19">
        <f t="shared" si="5"/>
        <v>2.0591198212896145</v>
      </c>
      <c r="U47" s="25"/>
      <c r="V47" s="21"/>
      <c r="W47" s="45"/>
      <c r="AB47" s="51"/>
      <c r="AC47" s="52"/>
      <c r="AD47" s="53"/>
      <c r="AE47" s="54"/>
      <c r="AF47" s="55"/>
      <c r="AG47" s="56"/>
      <c r="AH47" s="51"/>
      <c r="AI47" s="52"/>
      <c r="AJ47" s="53"/>
      <c r="AK47" s="54"/>
      <c r="AL47" s="51"/>
      <c r="AM47" s="52"/>
      <c r="AN47" s="53"/>
      <c r="AO47" s="54"/>
      <c r="AP47" s="51"/>
      <c r="AQ47" s="52"/>
      <c r="AR47" s="53"/>
      <c r="AS47" s="54"/>
    </row>
    <row r="48" spans="1:45" ht="15.6" thickTop="1" thickBot="1" x14ac:dyDescent="0.35">
      <c r="A48" s="60"/>
      <c r="B48" s="58">
        <v>2019</v>
      </c>
      <c r="C48" s="58">
        <v>3392434</v>
      </c>
      <c r="D48" s="58">
        <v>364</v>
      </c>
      <c r="E48" s="18">
        <f t="shared" si="0"/>
        <v>10.72975922302394</v>
      </c>
      <c r="F48" s="19">
        <f t="shared" si="1"/>
        <v>2.3730211167844923</v>
      </c>
      <c r="G48" s="25"/>
      <c r="H48" s="21"/>
      <c r="I48" s="61"/>
      <c r="J48" s="58">
        <v>1738784</v>
      </c>
      <c r="K48" s="58">
        <v>245</v>
      </c>
      <c r="L48" s="18">
        <f t="shared" si="2"/>
        <v>14.09030678911239</v>
      </c>
      <c r="M48" s="19">
        <f t="shared" si="3"/>
        <v>2.6454870992088497</v>
      </c>
      <c r="N48" s="25"/>
      <c r="O48" s="21"/>
      <c r="P48" s="61"/>
      <c r="Q48" s="58">
        <v>1653650</v>
      </c>
      <c r="R48" s="58">
        <v>119</v>
      </c>
      <c r="S48" s="18">
        <f t="shared" si="4"/>
        <v>7.1962023402775674</v>
      </c>
      <c r="T48" s="19">
        <f t="shared" si="5"/>
        <v>1.973553434130654</v>
      </c>
      <c r="U48" s="25"/>
      <c r="V48" s="21"/>
      <c r="W48" s="45"/>
      <c r="AB48" s="51"/>
      <c r="AC48" s="52"/>
      <c r="AD48" s="53"/>
      <c r="AE48" s="54"/>
      <c r="AF48" s="55"/>
      <c r="AG48" s="56"/>
      <c r="AH48" s="51"/>
      <c r="AI48" s="52"/>
      <c r="AJ48" s="53"/>
      <c r="AK48" s="54"/>
      <c r="AL48" s="51"/>
      <c r="AM48" s="52"/>
      <c r="AN48" s="53"/>
      <c r="AO48" s="54"/>
      <c r="AP48" s="51"/>
      <c r="AQ48" s="52"/>
      <c r="AR48" s="53"/>
      <c r="AS48" s="54"/>
    </row>
    <row r="49" spans="1:137" ht="15.6" thickTop="1" thickBot="1" x14ac:dyDescent="0.35">
      <c r="A49" s="60"/>
      <c r="B49" s="58">
        <v>2020</v>
      </c>
      <c r="C49" s="58">
        <v>3407618</v>
      </c>
      <c r="D49" s="58">
        <v>375</v>
      </c>
      <c r="E49" s="18">
        <f t="shared" si="0"/>
        <v>11.004754640925126</v>
      </c>
      <c r="F49" s="19">
        <f t="shared" si="1"/>
        <v>2.3983274194936377</v>
      </c>
      <c r="G49" s="25"/>
      <c r="H49" s="21"/>
      <c r="I49" s="61"/>
      <c r="J49" s="58">
        <v>1746983</v>
      </c>
      <c r="K49" s="58">
        <v>235</v>
      </c>
      <c r="L49" s="18">
        <f t="shared" si="2"/>
        <v>13.451762266719253</v>
      </c>
      <c r="M49" s="19">
        <f t="shared" si="3"/>
        <v>2.5991101210129126</v>
      </c>
      <c r="N49" s="25"/>
      <c r="O49" s="21"/>
      <c r="P49" s="61"/>
      <c r="Q49" s="58">
        <v>1660635</v>
      </c>
      <c r="R49" s="58">
        <v>140</v>
      </c>
      <c r="S49" s="18">
        <f t="shared" si="4"/>
        <v>8.4305100157469877</v>
      </c>
      <c r="T49" s="19">
        <f t="shared" si="5"/>
        <v>2.131857270272318</v>
      </c>
      <c r="U49" s="25"/>
      <c r="V49" s="21"/>
      <c r="W49" s="45"/>
      <c r="AB49" s="51"/>
      <c r="AC49" s="52"/>
      <c r="AD49" s="53"/>
      <c r="AE49" s="54"/>
      <c r="AF49" s="55"/>
      <c r="AG49" s="56"/>
      <c r="AH49" s="51"/>
      <c r="AI49" s="52"/>
      <c r="AJ49" s="53"/>
      <c r="AK49" s="54"/>
      <c r="AL49" s="51"/>
      <c r="AM49" s="52"/>
      <c r="AN49" s="53"/>
      <c r="AO49" s="54"/>
      <c r="AP49" s="51"/>
      <c r="AQ49" s="52"/>
      <c r="AR49" s="53"/>
      <c r="AS49" s="54"/>
    </row>
    <row r="50" spans="1:137" ht="15.6" thickTop="1" thickBot="1" x14ac:dyDescent="0.35">
      <c r="A50" s="62"/>
      <c r="B50" s="58">
        <v>2021</v>
      </c>
      <c r="C50" s="58">
        <v>3419382</v>
      </c>
      <c r="D50" s="58">
        <v>413</v>
      </c>
      <c r="E50" s="18">
        <f t="shared" si="0"/>
        <v>12.078205944816929</v>
      </c>
      <c r="F50" s="19">
        <f t="shared" si="1"/>
        <v>2.4914026669753886</v>
      </c>
      <c r="G50" s="34"/>
      <c r="H50" s="21"/>
      <c r="I50" s="63"/>
      <c r="J50" s="58">
        <v>1753566</v>
      </c>
      <c r="K50" s="58">
        <v>250</v>
      </c>
      <c r="L50" s="18">
        <f t="shared" si="2"/>
        <v>14.256663279283471</v>
      </c>
      <c r="M50" s="19">
        <f t="shared" si="3"/>
        <v>2.6572243959707356</v>
      </c>
      <c r="N50" s="34"/>
      <c r="O50" s="21"/>
      <c r="P50" s="63"/>
      <c r="Q50" s="58">
        <v>1665816</v>
      </c>
      <c r="R50" s="58">
        <v>163</v>
      </c>
      <c r="S50" s="18">
        <f t="shared" si="4"/>
        <v>9.7849942610708496</v>
      </c>
      <c r="T50" s="19">
        <f t="shared" si="5"/>
        <v>2.2808500143451438</v>
      </c>
      <c r="U50" s="34"/>
      <c r="V50" s="21"/>
      <c r="W50" s="49"/>
      <c r="AB50" s="51"/>
      <c r="AC50" s="52"/>
      <c r="AD50" s="53"/>
      <c r="AE50" s="54"/>
      <c r="AF50" s="55"/>
      <c r="AG50" s="56"/>
      <c r="AH50" s="51"/>
      <c r="AI50" s="52"/>
      <c r="AJ50" s="53"/>
      <c r="AK50" s="54"/>
      <c r="AL50" s="51"/>
      <c r="AM50" s="52"/>
      <c r="AN50" s="53"/>
      <c r="AO50" s="54"/>
      <c r="AP50" s="51"/>
      <c r="AQ50" s="52"/>
      <c r="AR50" s="53"/>
      <c r="AS50" s="54"/>
    </row>
    <row r="51" spans="1:137" ht="15.6" thickTop="1" thickBot="1" x14ac:dyDescent="0.35">
      <c r="A51" s="16" t="s">
        <v>304</v>
      </c>
      <c r="B51" s="17">
        <v>2016</v>
      </c>
      <c r="C51" s="17">
        <v>2198312</v>
      </c>
      <c r="D51" s="17">
        <v>121</v>
      </c>
      <c r="E51" s="18">
        <f t="shared" si="0"/>
        <v>5.5042232403771623</v>
      </c>
      <c r="F51" s="19">
        <f t="shared" si="1"/>
        <v>1.70551565947007</v>
      </c>
      <c r="G51" s="20">
        <v>0.1019</v>
      </c>
      <c r="H51" s="21">
        <f t="shared" ref="H51" si="17">(EXP(G51)-1)*100</f>
        <v>10.727273891749345</v>
      </c>
      <c r="I51" s="22" t="s">
        <v>305</v>
      </c>
      <c r="J51" s="17">
        <v>1135019</v>
      </c>
      <c r="K51" s="17">
        <v>77</v>
      </c>
      <c r="L51" s="18">
        <f t="shared" si="2"/>
        <v>6.784027403946542</v>
      </c>
      <c r="M51" s="19">
        <f t="shared" si="3"/>
        <v>1.9145709379782803</v>
      </c>
      <c r="N51" s="20">
        <v>0.1016</v>
      </c>
      <c r="O51" s="21">
        <f t="shared" ref="O51" si="18">(EXP(N51)-1)*100</f>
        <v>10.694060691810892</v>
      </c>
      <c r="P51" s="22" t="s">
        <v>306</v>
      </c>
      <c r="Q51" s="17">
        <v>1063293</v>
      </c>
      <c r="R51" s="17">
        <v>44</v>
      </c>
      <c r="S51" s="18">
        <f t="shared" si="4"/>
        <v>4.1380879964412438</v>
      </c>
      <c r="T51" s="19">
        <f t="shared" si="5"/>
        <v>1.4202338445494544</v>
      </c>
      <c r="U51" s="20">
        <v>0.1061</v>
      </c>
      <c r="V51" s="21">
        <f t="shared" ref="V51" si="19">(EXP(U51)-1)*100</f>
        <v>11.193306425347615</v>
      </c>
      <c r="W51" s="22" t="s">
        <v>307</v>
      </c>
      <c r="AB51" s="51"/>
      <c r="AC51" s="52"/>
      <c r="AD51" s="53"/>
      <c r="AE51" s="54"/>
      <c r="AF51" s="55"/>
      <c r="AG51" s="56"/>
      <c r="AH51" s="51"/>
      <c r="AI51" s="52"/>
      <c r="AJ51" s="53"/>
      <c r="AK51" s="54"/>
      <c r="AL51" s="51"/>
      <c r="AM51" s="52"/>
      <c r="AN51" s="53"/>
      <c r="AO51" s="54"/>
      <c r="AP51" s="51"/>
      <c r="AQ51" s="52"/>
      <c r="AR51" s="53"/>
      <c r="AS51" s="54"/>
    </row>
    <row r="52" spans="1:137" ht="15.6" thickTop="1" thickBot="1" x14ac:dyDescent="0.35">
      <c r="A52" s="24"/>
      <c r="B52" s="17">
        <v>2017</v>
      </c>
      <c r="C52" s="17">
        <v>2212722</v>
      </c>
      <c r="D52" s="17">
        <v>144</v>
      </c>
      <c r="E52" s="18">
        <f t="shared" si="0"/>
        <v>6.5078215880711623</v>
      </c>
      <c r="F52" s="19">
        <f t="shared" si="1"/>
        <v>1.8730047747325755</v>
      </c>
      <c r="G52" s="25"/>
      <c r="H52" s="21"/>
      <c r="I52" s="26"/>
      <c r="J52" s="17">
        <v>1143249</v>
      </c>
      <c r="K52" s="17">
        <v>92</v>
      </c>
      <c r="L52" s="18">
        <f t="shared" si="2"/>
        <v>8.0472408023099078</v>
      </c>
      <c r="M52" s="19">
        <f t="shared" si="3"/>
        <v>2.0853292751986716</v>
      </c>
      <c r="N52" s="25"/>
      <c r="O52" s="21"/>
      <c r="P52" s="26"/>
      <c r="Q52" s="17">
        <v>1069473</v>
      </c>
      <c r="R52" s="17">
        <v>52</v>
      </c>
      <c r="S52" s="18">
        <f t="shared" si="4"/>
        <v>4.8622078350739102</v>
      </c>
      <c r="T52" s="19">
        <f t="shared" si="5"/>
        <v>1.5814926218075251</v>
      </c>
      <c r="U52" s="25"/>
      <c r="V52" s="21"/>
      <c r="W52" s="26"/>
      <c r="AB52" s="51"/>
      <c r="AC52" s="52"/>
      <c r="AD52" s="53"/>
      <c r="AE52" s="54"/>
      <c r="AF52" s="55"/>
      <c r="AG52" s="56"/>
      <c r="AH52" s="51"/>
      <c r="AI52" s="52"/>
      <c r="AJ52" s="53"/>
      <c r="AK52" s="54"/>
      <c r="AL52" s="51"/>
      <c r="AM52" s="52"/>
      <c r="AN52" s="53"/>
      <c r="AO52" s="54"/>
      <c r="AP52" s="51"/>
      <c r="AQ52" s="52"/>
      <c r="AR52" s="53"/>
      <c r="AS52" s="54"/>
    </row>
    <row r="53" spans="1:137" ht="15.6" thickTop="1" thickBot="1" x14ac:dyDescent="0.35">
      <c r="A53" s="24"/>
      <c r="B53" s="17">
        <v>2018</v>
      </c>
      <c r="C53" s="17">
        <v>2227068</v>
      </c>
      <c r="D53" s="17">
        <v>148</v>
      </c>
      <c r="E53" s="18">
        <f t="shared" si="0"/>
        <v>6.6455088035030814</v>
      </c>
      <c r="F53" s="19">
        <f t="shared" si="1"/>
        <v>1.8939412586098576</v>
      </c>
      <c r="G53" s="25"/>
      <c r="H53" s="21"/>
      <c r="I53" s="26"/>
      <c r="J53" s="17">
        <v>1151351</v>
      </c>
      <c r="K53" s="17">
        <v>93</v>
      </c>
      <c r="L53" s="18">
        <f t="shared" si="2"/>
        <v>8.0774672536871908</v>
      </c>
      <c r="M53" s="19">
        <f t="shared" si="3"/>
        <v>2.089078364692476</v>
      </c>
      <c r="N53" s="25"/>
      <c r="O53" s="21"/>
      <c r="P53" s="26"/>
      <c r="Q53" s="17">
        <v>1075717</v>
      </c>
      <c r="R53" s="17">
        <v>55</v>
      </c>
      <c r="S53" s="18">
        <f t="shared" si="4"/>
        <v>5.11286890511166</v>
      </c>
      <c r="T53" s="19">
        <f t="shared" si="5"/>
        <v>1.6317606762447479</v>
      </c>
      <c r="U53" s="25"/>
      <c r="V53" s="21"/>
      <c r="W53" s="26"/>
      <c r="AB53" s="51"/>
      <c r="AC53" s="52"/>
      <c r="AD53" s="53"/>
      <c r="AE53" s="54"/>
      <c r="AF53" s="55"/>
      <c r="AG53" s="56"/>
      <c r="AH53" s="51"/>
      <c r="AI53" s="52"/>
      <c r="AJ53" s="53"/>
      <c r="AK53" s="54"/>
      <c r="AL53" s="51"/>
      <c r="AM53" s="52"/>
      <c r="AN53" s="53"/>
      <c r="AO53" s="54"/>
      <c r="AP53" s="51"/>
      <c r="AQ53" s="52"/>
      <c r="AR53" s="53"/>
      <c r="AS53" s="54"/>
    </row>
    <row r="54" spans="1:137" ht="15.6" thickTop="1" thickBot="1" x14ac:dyDescent="0.35">
      <c r="A54" s="24"/>
      <c r="B54" s="17">
        <v>2019</v>
      </c>
      <c r="C54" s="17">
        <v>2241300</v>
      </c>
      <c r="D54" s="17">
        <v>159</v>
      </c>
      <c r="E54" s="18">
        <f t="shared" si="0"/>
        <v>7.094097175746219</v>
      </c>
      <c r="F54" s="19">
        <f t="shared" si="1"/>
        <v>1.9592630545584577</v>
      </c>
      <c r="G54" s="25"/>
      <c r="H54" s="21"/>
      <c r="I54" s="26"/>
      <c r="J54" s="17">
        <v>1159203</v>
      </c>
      <c r="K54" s="17">
        <v>107</v>
      </c>
      <c r="L54" s="18">
        <f t="shared" si="2"/>
        <v>9.2304799073156296</v>
      </c>
      <c r="M54" s="19">
        <f t="shared" si="3"/>
        <v>2.2225110414551552</v>
      </c>
      <c r="N54" s="25"/>
      <c r="O54" s="21"/>
      <c r="P54" s="26"/>
      <c r="Q54" s="17">
        <v>1082097</v>
      </c>
      <c r="R54" s="17">
        <v>52</v>
      </c>
      <c r="S54" s="18">
        <f t="shared" si="4"/>
        <v>4.8054841663917376</v>
      </c>
      <c r="T54" s="19">
        <f t="shared" si="5"/>
        <v>1.5697578003827841</v>
      </c>
      <c r="U54" s="25"/>
      <c r="V54" s="21"/>
      <c r="W54" s="26"/>
      <c r="AB54" s="51"/>
      <c r="AC54" s="52"/>
      <c r="AD54" s="53"/>
      <c r="AE54" s="54"/>
      <c r="AF54" s="55"/>
      <c r="AG54" s="56"/>
      <c r="AH54" s="51"/>
      <c r="AI54" s="52"/>
      <c r="AJ54" s="53"/>
      <c r="AK54" s="54"/>
      <c r="AL54" s="51"/>
      <c r="AM54" s="52"/>
      <c r="AN54" s="53"/>
      <c r="AO54" s="54"/>
      <c r="AP54" s="51"/>
      <c r="AQ54" s="52"/>
      <c r="AR54" s="53"/>
      <c r="AS54" s="54"/>
    </row>
    <row r="55" spans="1:137" ht="15.6" thickTop="1" thickBot="1" x14ac:dyDescent="0.35">
      <c r="A55" s="24"/>
      <c r="B55" s="17">
        <v>2020</v>
      </c>
      <c r="C55" s="17">
        <v>2254218</v>
      </c>
      <c r="D55" s="17">
        <v>188</v>
      </c>
      <c r="E55" s="18">
        <f t="shared" si="0"/>
        <v>8.3399209836848076</v>
      </c>
      <c r="F55" s="19">
        <f t="shared" si="1"/>
        <v>2.1210537419474527</v>
      </c>
      <c r="G55" s="25"/>
      <c r="H55" s="21"/>
      <c r="I55" s="26"/>
      <c r="J55" s="17">
        <v>1166474</v>
      </c>
      <c r="K55" s="17">
        <v>116</v>
      </c>
      <c r="L55" s="18">
        <f t="shared" si="2"/>
        <v>9.9444994059018885</v>
      </c>
      <c r="M55" s="19">
        <f t="shared" si="3"/>
        <v>2.2970195747797866</v>
      </c>
      <c r="N55" s="25"/>
      <c r="O55" s="21"/>
      <c r="P55" s="26"/>
      <c r="Q55" s="17">
        <v>1087744</v>
      </c>
      <c r="R55" s="17">
        <v>72</v>
      </c>
      <c r="S55" s="18">
        <f t="shared" si="4"/>
        <v>6.6192045187102844</v>
      </c>
      <c r="T55" s="19">
        <f t="shared" si="5"/>
        <v>1.8899751993919096</v>
      </c>
      <c r="U55" s="25"/>
      <c r="V55" s="21"/>
      <c r="W55" s="26"/>
      <c r="AB55" s="51"/>
      <c r="AC55" s="52"/>
      <c r="AD55" s="53"/>
      <c r="AE55" s="54"/>
      <c r="AF55" s="55"/>
      <c r="AG55" s="56"/>
      <c r="AH55" s="51"/>
      <c r="AI55" s="52"/>
      <c r="AJ55" s="53"/>
      <c r="AK55" s="54"/>
      <c r="AL55" s="51"/>
      <c r="AM55" s="52"/>
      <c r="AN55" s="53"/>
      <c r="AO55" s="54"/>
      <c r="AP55" s="51"/>
      <c r="AQ55" s="52"/>
      <c r="AR55" s="53"/>
      <c r="AS55" s="54"/>
    </row>
    <row r="56" spans="1:137" ht="15.6" thickTop="1" thickBot="1" x14ac:dyDescent="0.35">
      <c r="A56" s="33"/>
      <c r="B56" s="17">
        <v>2021</v>
      </c>
      <c r="C56" s="17">
        <v>2264937</v>
      </c>
      <c r="D56" s="17">
        <v>218</v>
      </c>
      <c r="E56" s="18">
        <f t="shared" si="0"/>
        <v>9.6249917768132178</v>
      </c>
      <c r="F56" s="19">
        <f t="shared" si="1"/>
        <v>2.2643630258164147</v>
      </c>
      <c r="G56" s="34"/>
      <c r="H56" s="21"/>
      <c r="I56" s="35"/>
      <c r="J56" s="17">
        <v>1172810</v>
      </c>
      <c r="K56" s="17">
        <v>138</v>
      </c>
      <c r="L56" s="18">
        <f t="shared" si="2"/>
        <v>11.766611812655077</v>
      </c>
      <c r="M56" s="19">
        <f t="shared" si="3"/>
        <v>2.465266013446259</v>
      </c>
      <c r="N56" s="34"/>
      <c r="O56" s="21"/>
      <c r="P56" s="35"/>
      <c r="Q56" s="17">
        <v>1092127</v>
      </c>
      <c r="R56" s="17">
        <v>80</v>
      </c>
      <c r="S56" s="18">
        <f t="shared" si="4"/>
        <v>7.3251554077501968</v>
      </c>
      <c r="T56" s="19">
        <f t="shared" si="5"/>
        <v>1.9913143707531855</v>
      </c>
      <c r="U56" s="34"/>
      <c r="V56" s="21"/>
      <c r="W56" s="35"/>
      <c r="AB56" s="51"/>
      <c r="AC56" s="52"/>
      <c r="AD56" s="53"/>
      <c r="AE56" s="54"/>
      <c r="AF56" s="55"/>
      <c r="AG56" s="56"/>
      <c r="AH56" s="51"/>
      <c r="AI56" s="52"/>
      <c r="AJ56" s="53"/>
      <c r="AK56" s="54"/>
      <c r="AL56" s="51"/>
      <c r="AM56" s="52"/>
      <c r="AN56" s="53"/>
      <c r="AO56" s="54"/>
      <c r="AP56" s="51"/>
      <c r="AQ56" s="52"/>
      <c r="AR56" s="53"/>
      <c r="AS56" s="54"/>
    </row>
    <row r="57" spans="1:137" x14ac:dyDescent="0.3">
      <c r="A57" s="64"/>
      <c r="B57" s="65"/>
      <c r="C57" s="66"/>
      <c r="D57" s="67"/>
      <c r="E57" s="53"/>
      <c r="F57" s="53"/>
      <c r="G57" s="53"/>
      <c r="H57" s="68"/>
      <c r="I57" s="68"/>
      <c r="J57" s="66"/>
      <c r="K57" s="67"/>
      <c r="L57" s="53"/>
      <c r="M57" s="68"/>
      <c r="N57" s="66"/>
      <c r="O57" s="66"/>
      <c r="P57" s="53"/>
      <c r="Q57" s="67"/>
      <c r="R57" s="67"/>
      <c r="S57" s="53"/>
      <c r="T57" s="68"/>
      <c r="U57" s="56"/>
      <c r="W57" s="51"/>
      <c r="X57" s="51"/>
      <c r="Y57" s="53"/>
      <c r="Z57" s="52"/>
      <c r="AA57" s="52"/>
      <c r="AB57" s="53"/>
      <c r="AC57" s="54"/>
      <c r="AH57" s="51"/>
      <c r="AI57" s="52"/>
      <c r="AJ57" s="53"/>
      <c r="AK57" s="54"/>
      <c r="AL57" s="55"/>
      <c r="AM57" s="56"/>
      <c r="AN57" s="51"/>
      <c r="AO57" s="52"/>
      <c r="AP57" s="53"/>
      <c r="AQ57" s="54"/>
      <c r="AR57" s="51"/>
      <c r="AS57" s="52"/>
      <c r="AT57" s="53"/>
      <c r="AU57" s="54"/>
      <c r="AV57" s="51"/>
      <c r="AW57" s="52"/>
      <c r="AX57" s="53"/>
      <c r="AY57" s="54"/>
    </row>
    <row r="60" spans="1:137" ht="15" thickBot="1" x14ac:dyDescent="0.35"/>
    <row r="61" spans="1:137" ht="15" thickBot="1" x14ac:dyDescent="0.35">
      <c r="A61" s="69"/>
      <c r="B61" s="70"/>
      <c r="C61" s="71" t="s">
        <v>308</v>
      </c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3" t="s">
        <v>309</v>
      </c>
      <c r="AE61" s="73"/>
      <c r="AF61" s="73"/>
      <c r="AG61" s="73"/>
      <c r="AH61" s="73" t="s">
        <v>310</v>
      </c>
      <c r="AI61" s="73"/>
      <c r="AJ61" s="73"/>
      <c r="AK61" s="73"/>
      <c r="AL61" s="73" t="s">
        <v>311</v>
      </c>
      <c r="AM61" s="73"/>
      <c r="AN61" s="73"/>
      <c r="AO61" s="73"/>
      <c r="AP61" s="73" t="s">
        <v>312</v>
      </c>
      <c r="AQ61" s="73"/>
      <c r="AR61" s="73"/>
      <c r="AS61" s="73"/>
      <c r="AT61" s="73" t="s">
        <v>313</v>
      </c>
      <c r="AU61" s="73"/>
      <c r="AV61" s="73"/>
      <c r="AW61" s="73"/>
      <c r="AX61" s="73" t="s">
        <v>314</v>
      </c>
      <c r="AY61" s="73"/>
      <c r="AZ61" s="73"/>
      <c r="BA61" s="73"/>
      <c r="BB61" s="73" t="s">
        <v>315</v>
      </c>
      <c r="BC61" s="73"/>
      <c r="BD61" s="73"/>
      <c r="BE61" s="73"/>
      <c r="BF61" s="73" t="s">
        <v>316</v>
      </c>
      <c r="BG61" s="73"/>
      <c r="BH61" s="73"/>
      <c r="BI61" s="73"/>
      <c r="BJ61" s="73" t="s">
        <v>317</v>
      </c>
      <c r="BK61" s="73"/>
      <c r="BL61" s="73"/>
      <c r="BM61" s="73"/>
      <c r="BN61" s="73" t="s">
        <v>318</v>
      </c>
      <c r="BO61" s="73"/>
      <c r="BP61" s="73"/>
      <c r="BQ61" s="73"/>
      <c r="BR61" s="73" t="s">
        <v>319</v>
      </c>
      <c r="BS61" s="73"/>
      <c r="BT61" s="73"/>
      <c r="BU61" s="73"/>
      <c r="BV61" s="73" t="s">
        <v>320</v>
      </c>
      <c r="BW61" s="73"/>
      <c r="BX61" s="73"/>
      <c r="BY61" s="73"/>
      <c r="BZ61" s="73" t="s">
        <v>321</v>
      </c>
      <c r="CA61" s="73"/>
      <c r="CB61" s="73"/>
      <c r="CC61" s="73"/>
      <c r="CD61" s="73" t="s">
        <v>322</v>
      </c>
      <c r="CE61" s="73"/>
      <c r="CF61" s="73"/>
      <c r="CG61" s="73"/>
      <c r="CH61" s="73" t="s">
        <v>323</v>
      </c>
      <c r="CI61" s="73"/>
      <c r="CJ61" s="73"/>
      <c r="CK61" s="73"/>
      <c r="CL61" s="73" t="s">
        <v>324</v>
      </c>
      <c r="CM61" s="73"/>
      <c r="CN61" s="73"/>
      <c r="CO61" s="73"/>
      <c r="CP61" s="73" t="s">
        <v>325</v>
      </c>
      <c r="CQ61" s="73"/>
      <c r="CR61" s="73"/>
      <c r="CS61" s="73"/>
      <c r="CT61" s="73" t="s">
        <v>326</v>
      </c>
      <c r="CU61" s="73"/>
      <c r="CV61" s="73"/>
      <c r="CW61" s="73"/>
      <c r="CX61" s="73" t="s">
        <v>327</v>
      </c>
      <c r="CY61" s="73"/>
      <c r="CZ61" s="73"/>
      <c r="DA61" s="73"/>
      <c r="DB61" s="73" t="s">
        <v>328</v>
      </c>
      <c r="DC61" s="73"/>
      <c r="DD61" s="73"/>
      <c r="DE61" s="73"/>
      <c r="DF61" s="73" t="s">
        <v>329</v>
      </c>
      <c r="DG61" s="73"/>
      <c r="DH61" s="73"/>
      <c r="DI61" s="73"/>
      <c r="DJ61" s="73" t="s">
        <v>330</v>
      </c>
      <c r="DK61" s="73"/>
      <c r="DL61" s="73"/>
      <c r="DM61" s="73"/>
      <c r="DN61" s="73" t="s">
        <v>331</v>
      </c>
      <c r="DO61" s="73"/>
      <c r="DP61" s="73"/>
      <c r="DQ61" s="73"/>
      <c r="DR61" s="73" t="s">
        <v>332</v>
      </c>
      <c r="DS61" s="73"/>
      <c r="DT61" s="73"/>
      <c r="DU61" s="73"/>
      <c r="DV61" s="73" t="s">
        <v>333</v>
      </c>
      <c r="DW61" s="73"/>
      <c r="DX61" s="73"/>
      <c r="DY61" s="73"/>
      <c r="DZ61" s="73" t="s">
        <v>334</v>
      </c>
      <c r="EA61" s="73"/>
      <c r="EB61" s="73"/>
      <c r="EC61" s="73"/>
      <c r="ED61" s="73" t="s">
        <v>335</v>
      </c>
      <c r="EE61" s="73"/>
      <c r="EF61" s="73"/>
      <c r="EG61" s="73"/>
    </row>
    <row r="62" spans="1:137" ht="15" thickBot="1" x14ac:dyDescent="0.35">
      <c r="A62" s="74" t="s">
        <v>0</v>
      </c>
      <c r="B62" s="75"/>
      <c r="C62" s="76" t="s">
        <v>336</v>
      </c>
      <c r="D62" s="77"/>
      <c r="E62" s="77"/>
      <c r="F62" s="77"/>
      <c r="G62" s="77"/>
      <c r="H62" s="77"/>
      <c r="I62" s="77"/>
      <c r="J62" s="77"/>
      <c r="K62" s="78"/>
      <c r="L62" s="76" t="s">
        <v>337</v>
      </c>
      <c r="M62" s="77"/>
      <c r="N62" s="77"/>
      <c r="O62" s="77"/>
      <c r="P62" s="77"/>
      <c r="Q62" s="77"/>
      <c r="R62" s="77"/>
      <c r="S62" s="77"/>
      <c r="T62" s="78"/>
      <c r="U62" s="76" t="s">
        <v>338</v>
      </c>
      <c r="V62" s="77"/>
      <c r="W62" s="77"/>
      <c r="X62" s="77"/>
      <c r="Y62" s="77"/>
      <c r="Z62" s="77"/>
      <c r="AA62" s="77"/>
      <c r="AB62" s="77"/>
      <c r="AC62" s="77"/>
      <c r="AD62" s="15" t="s">
        <v>40</v>
      </c>
      <c r="AE62" s="15" t="s">
        <v>41</v>
      </c>
      <c r="AF62" s="15" t="s">
        <v>42</v>
      </c>
      <c r="AG62" s="15" t="s">
        <v>43</v>
      </c>
      <c r="AH62" s="15" t="s">
        <v>40</v>
      </c>
      <c r="AI62" s="15" t="s">
        <v>41</v>
      </c>
      <c r="AJ62" s="15" t="s">
        <v>42</v>
      </c>
      <c r="AK62" s="15" t="s">
        <v>43</v>
      </c>
      <c r="AL62" s="15" t="s">
        <v>40</v>
      </c>
      <c r="AM62" s="15" t="s">
        <v>41</v>
      </c>
      <c r="AN62" s="15" t="s">
        <v>42</v>
      </c>
      <c r="AO62" s="15" t="s">
        <v>43</v>
      </c>
      <c r="AP62" s="15" t="s">
        <v>40</v>
      </c>
      <c r="AQ62" s="15" t="s">
        <v>41</v>
      </c>
      <c r="AR62" s="15" t="s">
        <v>42</v>
      </c>
      <c r="AS62" s="15" t="s">
        <v>43</v>
      </c>
      <c r="AT62" s="15" t="s">
        <v>40</v>
      </c>
      <c r="AU62" s="15" t="s">
        <v>41</v>
      </c>
      <c r="AV62" s="15" t="s">
        <v>42</v>
      </c>
      <c r="AW62" s="15" t="s">
        <v>43</v>
      </c>
      <c r="AX62" s="15" t="s">
        <v>40</v>
      </c>
      <c r="AY62" s="15" t="s">
        <v>41</v>
      </c>
      <c r="AZ62" s="15" t="s">
        <v>42</v>
      </c>
      <c r="BA62" s="15" t="s">
        <v>43</v>
      </c>
      <c r="BB62" s="15" t="s">
        <v>40</v>
      </c>
      <c r="BC62" s="15" t="s">
        <v>41</v>
      </c>
      <c r="BD62" s="15" t="s">
        <v>42</v>
      </c>
      <c r="BE62" s="15" t="s">
        <v>43</v>
      </c>
      <c r="BF62" s="15" t="s">
        <v>40</v>
      </c>
      <c r="BG62" s="15" t="s">
        <v>41</v>
      </c>
      <c r="BH62" s="15" t="s">
        <v>42</v>
      </c>
      <c r="BI62" s="15" t="s">
        <v>43</v>
      </c>
      <c r="BJ62" s="15" t="s">
        <v>40</v>
      </c>
      <c r="BK62" s="15" t="s">
        <v>41</v>
      </c>
      <c r="BL62" s="15" t="s">
        <v>42</v>
      </c>
      <c r="BM62" s="15" t="s">
        <v>43</v>
      </c>
      <c r="BN62" s="15" t="s">
        <v>40</v>
      </c>
      <c r="BO62" s="15" t="s">
        <v>41</v>
      </c>
      <c r="BP62" s="15" t="s">
        <v>42</v>
      </c>
      <c r="BQ62" s="15" t="s">
        <v>43</v>
      </c>
      <c r="BR62" s="15" t="s">
        <v>40</v>
      </c>
      <c r="BS62" s="15" t="s">
        <v>41</v>
      </c>
      <c r="BT62" s="15" t="s">
        <v>42</v>
      </c>
      <c r="BU62" s="15" t="s">
        <v>43</v>
      </c>
      <c r="BV62" s="15" t="s">
        <v>40</v>
      </c>
      <c r="BW62" s="15" t="s">
        <v>41</v>
      </c>
      <c r="BX62" s="15" t="s">
        <v>42</v>
      </c>
      <c r="BY62" s="15" t="s">
        <v>43</v>
      </c>
      <c r="BZ62" s="15" t="s">
        <v>40</v>
      </c>
      <c r="CA62" s="15" t="s">
        <v>41</v>
      </c>
      <c r="CB62" s="15" t="s">
        <v>42</v>
      </c>
      <c r="CC62" s="15" t="s">
        <v>43</v>
      </c>
      <c r="CD62" s="15" t="s">
        <v>40</v>
      </c>
      <c r="CE62" s="15" t="s">
        <v>41</v>
      </c>
      <c r="CF62" s="15" t="s">
        <v>42</v>
      </c>
      <c r="CG62" s="15" t="s">
        <v>43</v>
      </c>
      <c r="CH62" s="15" t="s">
        <v>40</v>
      </c>
      <c r="CI62" s="15" t="s">
        <v>41</v>
      </c>
      <c r="CJ62" s="15" t="s">
        <v>42</v>
      </c>
      <c r="CK62" s="15" t="s">
        <v>43</v>
      </c>
      <c r="CL62" s="15" t="s">
        <v>40</v>
      </c>
      <c r="CM62" s="15" t="s">
        <v>41</v>
      </c>
      <c r="CN62" s="15" t="s">
        <v>42</v>
      </c>
      <c r="CO62" s="15" t="s">
        <v>43</v>
      </c>
      <c r="CP62" s="15" t="s">
        <v>40</v>
      </c>
      <c r="CQ62" s="15" t="s">
        <v>41</v>
      </c>
      <c r="CR62" s="15" t="s">
        <v>42</v>
      </c>
      <c r="CS62" s="15" t="s">
        <v>43</v>
      </c>
      <c r="CT62" s="15" t="s">
        <v>40</v>
      </c>
      <c r="CU62" s="15" t="s">
        <v>41</v>
      </c>
      <c r="CV62" s="15" t="s">
        <v>42</v>
      </c>
      <c r="CW62" s="15" t="s">
        <v>43</v>
      </c>
      <c r="CX62" s="15" t="s">
        <v>40</v>
      </c>
      <c r="CY62" s="15" t="s">
        <v>41</v>
      </c>
      <c r="CZ62" s="15" t="s">
        <v>42</v>
      </c>
      <c r="DA62" s="15" t="s">
        <v>43</v>
      </c>
      <c r="DB62" s="15" t="s">
        <v>40</v>
      </c>
      <c r="DC62" s="15" t="s">
        <v>41</v>
      </c>
      <c r="DD62" s="15" t="s">
        <v>42</v>
      </c>
      <c r="DE62" s="15" t="s">
        <v>43</v>
      </c>
      <c r="DF62" s="15" t="s">
        <v>40</v>
      </c>
      <c r="DG62" s="15" t="s">
        <v>41</v>
      </c>
      <c r="DH62" s="15" t="s">
        <v>42</v>
      </c>
      <c r="DI62" s="15" t="s">
        <v>43</v>
      </c>
      <c r="DJ62" s="15" t="s">
        <v>40</v>
      </c>
      <c r="DK62" s="15" t="s">
        <v>41</v>
      </c>
      <c r="DL62" s="15" t="s">
        <v>42</v>
      </c>
      <c r="DM62" s="15" t="s">
        <v>43</v>
      </c>
      <c r="DN62" s="15" t="s">
        <v>40</v>
      </c>
      <c r="DO62" s="15" t="s">
        <v>41</v>
      </c>
      <c r="DP62" s="15" t="s">
        <v>42</v>
      </c>
      <c r="DQ62" s="15" t="s">
        <v>43</v>
      </c>
      <c r="DR62" s="15" t="s">
        <v>40</v>
      </c>
      <c r="DS62" s="15" t="s">
        <v>41</v>
      </c>
      <c r="DT62" s="15" t="s">
        <v>42</v>
      </c>
      <c r="DU62" s="15" t="s">
        <v>43</v>
      </c>
      <c r="DV62" s="15" t="s">
        <v>40</v>
      </c>
      <c r="DW62" s="15" t="s">
        <v>41</v>
      </c>
      <c r="DX62" s="15" t="s">
        <v>42</v>
      </c>
      <c r="DY62" s="15" t="s">
        <v>43</v>
      </c>
      <c r="DZ62" s="15" t="s">
        <v>40</v>
      </c>
      <c r="EA62" s="15" t="s">
        <v>41</v>
      </c>
      <c r="EB62" s="15" t="s">
        <v>42</v>
      </c>
      <c r="EC62" s="15" t="s">
        <v>43</v>
      </c>
      <c r="ED62" s="15" t="s">
        <v>40</v>
      </c>
      <c r="EE62" s="15" t="s">
        <v>41</v>
      </c>
      <c r="EF62" s="15" t="s">
        <v>42</v>
      </c>
      <c r="EG62" s="15" t="s">
        <v>43</v>
      </c>
    </row>
    <row r="63" spans="1:137" ht="19.8" thickBot="1" x14ac:dyDescent="0.35">
      <c r="A63" s="79" t="s">
        <v>31</v>
      </c>
      <c r="B63" s="80" t="s">
        <v>339</v>
      </c>
      <c r="C63" s="80" t="s">
        <v>33</v>
      </c>
      <c r="D63" s="80" t="s">
        <v>34</v>
      </c>
      <c r="E63" s="81" t="s">
        <v>35</v>
      </c>
      <c r="F63" s="80" t="s">
        <v>36</v>
      </c>
      <c r="G63" s="80" t="s">
        <v>37</v>
      </c>
      <c r="H63" s="80" t="s">
        <v>38</v>
      </c>
      <c r="I63" s="10" t="s">
        <v>340</v>
      </c>
      <c r="J63" s="10" t="s">
        <v>341</v>
      </c>
      <c r="K63" s="80" t="s">
        <v>39</v>
      </c>
      <c r="L63" s="80" t="s">
        <v>33</v>
      </c>
      <c r="M63" s="80" t="s">
        <v>34</v>
      </c>
      <c r="N63" s="81" t="s">
        <v>35</v>
      </c>
      <c r="O63" s="80" t="s">
        <v>36</v>
      </c>
      <c r="P63" s="80" t="s">
        <v>37</v>
      </c>
      <c r="Q63" s="80" t="s">
        <v>38</v>
      </c>
      <c r="R63" s="10" t="s">
        <v>340</v>
      </c>
      <c r="S63" s="10" t="s">
        <v>341</v>
      </c>
      <c r="T63" s="80" t="s">
        <v>39</v>
      </c>
      <c r="U63" s="80" t="s">
        <v>33</v>
      </c>
      <c r="V63" s="80" t="s">
        <v>34</v>
      </c>
      <c r="W63" s="81" t="s">
        <v>35</v>
      </c>
      <c r="X63" s="80" t="s">
        <v>36</v>
      </c>
      <c r="Y63" s="80" t="s">
        <v>37</v>
      </c>
      <c r="Z63" s="80" t="s">
        <v>38</v>
      </c>
      <c r="AA63" s="10" t="s">
        <v>340</v>
      </c>
      <c r="AB63" s="10" t="s">
        <v>341</v>
      </c>
      <c r="AC63" s="82" t="s">
        <v>39</v>
      </c>
      <c r="AD63" s="15" t="s">
        <v>47</v>
      </c>
      <c r="AE63" s="15">
        <v>1</v>
      </c>
      <c r="AF63" s="15">
        <v>0.27279999999999999</v>
      </c>
      <c r="AG63" s="15">
        <v>0.27279999999999999</v>
      </c>
      <c r="AH63" s="15" t="s">
        <v>47</v>
      </c>
      <c r="AI63" s="15">
        <v>1</v>
      </c>
      <c r="AJ63" s="15">
        <v>8.1600000000000006E-2</v>
      </c>
      <c r="AK63" s="15">
        <v>8.1600000000000006E-2</v>
      </c>
      <c r="AL63" s="15" t="s">
        <v>47</v>
      </c>
      <c r="AM63" s="15">
        <v>1</v>
      </c>
      <c r="AN63" s="15">
        <v>9.2899999999999996E-2</v>
      </c>
      <c r="AO63" s="15">
        <v>9.2899999999999996E-2</v>
      </c>
      <c r="AP63" s="15" t="s">
        <v>47</v>
      </c>
      <c r="AQ63" s="15">
        <v>1</v>
      </c>
      <c r="AR63" s="15">
        <v>1.11E-2</v>
      </c>
      <c r="AS63" s="15">
        <v>1.11E-2</v>
      </c>
      <c r="AT63" s="15" t="s">
        <v>47</v>
      </c>
      <c r="AU63" s="15">
        <v>1</v>
      </c>
      <c r="AV63" s="15">
        <v>0.17299999999999999</v>
      </c>
      <c r="AW63" s="15">
        <v>0.17299999999999999</v>
      </c>
      <c r="AX63" s="15" t="s">
        <v>47</v>
      </c>
      <c r="AY63" s="15">
        <v>1</v>
      </c>
      <c r="AZ63" s="15">
        <v>0.2107</v>
      </c>
      <c r="BA63" s="15">
        <v>0.2107</v>
      </c>
      <c r="BB63" s="15" t="s">
        <v>47</v>
      </c>
      <c r="BC63" s="15">
        <v>1</v>
      </c>
      <c r="BD63" s="15">
        <v>4.4299999999999999E-2</v>
      </c>
      <c r="BE63" s="15">
        <v>4.4299999999999999E-2</v>
      </c>
      <c r="BF63" s="15" t="s">
        <v>47</v>
      </c>
      <c r="BG63" s="15">
        <v>1</v>
      </c>
      <c r="BH63" s="15">
        <v>5.0500000000000003E-2</v>
      </c>
      <c r="BI63" s="15">
        <v>5.0500000000000003E-2</v>
      </c>
      <c r="BJ63" s="15" t="s">
        <v>47</v>
      </c>
      <c r="BK63" s="15">
        <v>1</v>
      </c>
      <c r="BL63" s="15">
        <v>0.1065</v>
      </c>
      <c r="BM63" s="15">
        <v>0.1065</v>
      </c>
      <c r="BN63" s="15" t="s">
        <v>47</v>
      </c>
      <c r="BO63" s="15">
        <v>1</v>
      </c>
      <c r="BP63" s="15">
        <v>9.8100000000000007E-2</v>
      </c>
      <c r="BQ63" s="15">
        <v>9.8100000000000007E-2</v>
      </c>
      <c r="BR63" s="15" t="s">
        <v>47</v>
      </c>
      <c r="BS63" s="15">
        <v>1</v>
      </c>
      <c r="BT63" s="15">
        <v>0.09</v>
      </c>
      <c r="BU63" s="15">
        <v>0.09</v>
      </c>
      <c r="BV63" s="15" t="s">
        <v>47</v>
      </c>
      <c r="BW63" s="15">
        <v>1</v>
      </c>
      <c r="BX63" s="15">
        <v>0.17499999999999999</v>
      </c>
      <c r="BY63" s="15">
        <v>0.17499999999999999</v>
      </c>
      <c r="BZ63" s="15" t="s">
        <v>47</v>
      </c>
      <c r="CA63" s="15">
        <v>1</v>
      </c>
      <c r="CB63" s="15">
        <v>0.26169999999999999</v>
      </c>
      <c r="CC63" s="15">
        <v>0.26169999999999999</v>
      </c>
      <c r="CD63" s="15" t="s">
        <v>47</v>
      </c>
      <c r="CE63" s="15">
        <v>1</v>
      </c>
      <c r="CF63" s="15">
        <v>3.2099999999999997E-2</v>
      </c>
      <c r="CG63" s="15">
        <v>3.2099999999999997E-2</v>
      </c>
      <c r="CH63" s="15" t="s">
        <v>47</v>
      </c>
      <c r="CI63" s="15">
        <v>1</v>
      </c>
      <c r="CJ63" s="15">
        <v>2.9600000000000001E-2</v>
      </c>
      <c r="CK63" s="15">
        <v>2.9600000000000001E-2</v>
      </c>
      <c r="CL63" s="15" t="s">
        <v>47</v>
      </c>
      <c r="CM63" s="15">
        <v>1</v>
      </c>
      <c r="CN63" s="15">
        <v>7.4000000000000003E-3</v>
      </c>
      <c r="CO63" s="15">
        <v>7.4000000000000003E-3</v>
      </c>
      <c r="CP63" s="15" t="s">
        <v>47</v>
      </c>
      <c r="CQ63" s="15">
        <v>1</v>
      </c>
      <c r="CR63" s="15">
        <v>5.8299999999999998E-2</v>
      </c>
      <c r="CS63" s="15">
        <v>5.8299999999999998E-2</v>
      </c>
      <c r="CT63" s="15" t="s">
        <v>47</v>
      </c>
      <c r="CU63" s="15">
        <v>1</v>
      </c>
      <c r="CV63" s="15">
        <v>8.0199999999999994E-2</v>
      </c>
      <c r="CW63" s="15">
        <v>8.0199999999999994E-2</v>
      </c>
      <c r="CX63" s="15" t="s">
        <v>47</v>
      </c>
      <c r="CY63" s="15">
        <v>1</v>
      </c>
      <c r="CZ63" s="15">
        <v>0.56879999999999997</v>
      </c>
      <c r="DA63" s="15">
        <v>0.56879999999999997</v>
      </c>
      <c r="DB63" s="15" t="s">
        <v>47</v>
      </c>
      <c r="DC63" s="15">
        <v>1</v>
      </c>
      <c r="DD63" s="15">
        <v>3.0499999999999999E-2</v>
      </c>
      <c r="DE63" s="15">
        <v>3.0499999999999999E-2</v>
      </c>
      <c r="DF63" s="15" t="s">
        <v>47</v>
      </c>
      <c r="DG63" s="15">
        <v>1</v>
      </c>
      <c r="DH63" s="15">
        <v>5.7099999999999998E-2</v>
      </c>
      <c r="DI63" s="15">
        <v>5.7099999999999998E-2</v>
      </c>
      <c r="DJ63" s="15" t="s">
        <v>47</v>
      </c>
      <c r="DK63" s="15">
        <v>1</v>
      </c>
      <c r="DL63" s="15">
        <v>2.0000000000000001E-4</v>
      </c>
      <c r="DM63" s="15">
        <v>2.0000000000000001E-4</v>
      </c>
      <c r="DN63" s="15" t="s">
        <v>47</v>
      </c>
      <c r="DO63" s="15">
        <v>1</v>
      </c>
      <c r="DP63" s="15">
        <v>1.7600000000000001E-2</v>
      </c>
      <c r="DQ63" s="15">
        <v>1.7600000000000001E-2</v>
      </c>
      <c r="DR63" s="15" t="s">
        <v>47</v>
      </c>
      <c r="DS63" s="15">
        <v>1</v>
      </c>
      <c r="DT63" s="15">
        <v>1E-3</v>
      </c>
      <c r="DU63" s="15">
        <v>1E-3</v>
      </c>
      <c r="DV63" s="15" t="s">
        <v>47</v>
      </c>
      <c r="DW63" s="15">
        <v>1</v>
      </c>
      <c r="DX63" s="15">
        <v>0.79930000000000001</v>
      </c>
      <c r="DY63" s="15">
        <v>0.79930000000000001</v>
      </c>
      <c r="DZ63" s="83" t="s">
        <v>47</v>
      </c>
      <c r="EA63" s="15">
        <v>1</v>
      </c>
      <c r="EB63" s="15">
        <v>3.8999999999999998E-3</v>
      </c>
      <c r="EC63" s="15">
        <v>3.8999999999999998E-3</v>
      </c>
      <c r="ED63" s="15" t="s">
        <v>47</v>
      </c>
      <c r="EE63" s="15">
        <v>1</v>
      </c>
      <c r="EF63" s="15">
        <v>0.12770000000000001</v>
      </c>
      <c r="EG63" s="15">
        <v>0.12770000000000001</v>
      </c>
    </row>
    <row r="64" spans="1:137" ht="15.6" thickTop="1" thickBot="1" x14ac:dyDescent="0.35">
      <c r="A64" s="84" t="s">
        <v>44</v>
      </c>
      <c r="B64" s="85">
        <v>2016</v>
      </c>
      <c r="C64" s="85">
        <v>103542</v>
      </c>
      <c r="D64" s="86">
        <v>4</v>
      </c>
      <c r="E64" s="19">
        <f t="shared" ref="E64:E117" si="20">(D64/C64)*100000</f>
        <v>3.8631666376929172</v>
      </c>
      <c r="F64" s="19">
        <f t="shared" ref="F64:F117" si="21">LN(E64)</f>
        <v>1.3514872196144851</v>
      </c>
      <c r="G64" s="20">
        <v>-0.1249</v>
      </c>
      <c r="H64" s="21">
        <f>(EXP(G64)-1)*100</f>
        <v>-11.741484331251451</v>
      </c>
      <c r="I64" s="87">
        <f>(EXP(-0.326) - 1) * 100</f>
        <v>-27.819481256828414</v>
      </c>
      <c r="J64" s="87">
        <f>(EXP(0.076) - 1) * 100</f>
        <v>7.8962574157283916</v>
      </c>
      <c r="K64" s="88">
        <v>0.1595</v>
      </c>
      <c r="L64" s="85">
        <v>57009</v>
      </c>
      <c r="M64" s="86">
        <v>14</v>
      </c>
      <c r="N64" s="19">
        <f>(M64/L64)*100000</f>
        <v>24.557526004665927</v>
      </c>
      <c r="O64" s="19">
        <f>LN(N64)</f>
        <v>3.2010183654960196</v>
      </c>
      <c r="P64" s="20">
        <v>6.83E-2</v>
      </c>
      <c r="Q64" s="21">
        <f>(EXP(P64)-1)*100</f>
        <v>7.0686466242573909</v>
      </c>
      <c r="R64" s="87">
        <f>(EXP(-0.049) - 1) * 100</f>
        <v>-4.7818870301495124</v>
      </c>
      <c r="S64" s="87">
        <f>(EXP(0.186) - 1) * 100</f>
        <v>20.442226037762978</v>
      </c>
      <c r="T64" s="88">
        <v>0.182</v>
      </c>
      <c r="U64" s="85">
        <v>27344</v>
      </c>
      <c r="V64" s="86">
        <v>58</v>
      </c>
      <c r="W64" s="19">
        <f t="shared" ref="W64:W117" si="22">(V64/U64)*100000</f>
        <v>212.11234640140432</v>
      </c>
      <c r="X64" s="19">
        <f t="shared" ref="X64:X117" si="23">LN(W64)</f>
        <v>5.3571160701612754</v>
      </c>
      <c r="Y64" s="20">
        <v>7.2900000000000006E-2</v>
      </c>
      <c r="Z64" s="21">
        <f>(EXP(Y64)-1)*100</f>
        <v>7.5622969239485416</v>
      </c>
      <c r="AA64" s="87">
        <f>(EXP(0.027) - 1) * 100</f>
        <v>2.7367802763489379</v>
      </c>
      <c r="AB64" s="87">
        <f>(EXP(0.119) - 1) * 100</f>
        <v>12.636991828835287</v>
      </c>
      <c r="AC64" s="89">
        <v>1.17E-2</v>
      </c>
      <c r="AD64" s="15" t="s">
        <v>54</v>
      </c>
      <c r="AE64" s="15">
        <v>4</v>
      </c>
      <c r="AF64" s="15">
        <v>0.36649999999999999</v>
      </c>
      <c r="AG64" s="15">
        <v>9.1600000000000001E-2</v>
      </c>
      <c r="AH64" s="15" t="s">
        <v>54</v>
      </c>
      <c r="AI64" s="15">
        <v>4</v>
      </c>
      <c r="AJ64" s="15">
        <v>0.1255</v>
      </c>
      <c r="AK64" s="15">
        <v>3.1399999999999997E-2</v>
      </c>
      <c r="AL64" s="15" t="s">
        <v>54</v>
      </c>
      <c r="AM64" s="15">
        <v>4</v>
      </c>
      <c r="AN64" s="15">
        <v>1.9300000000000001E-2</v>
      </c>
      <c r="AO64" s="15">
        <v>4.7999999999999996E-3</v>
      </c>
      <c r="AP64" s="15" t="s">
        <v>54</v>
      </c>
      <c r="AQ64" s="15">
        <v>4</v>
      </c>
      <c r="AR64" s="15">
        <v>0.21490000000000001</v>
      </c>
      <c r="AS64" s="15">
        <v>5.3699999999999998E-2</v>
      </c>
      <c r="AT64" s="15" t="s">
        <v>54</v>
      </c>
      <c r="AU64" s="15">
        <v>4</v>
      </c>
      <c r="AV64" s="15">
        <v>8.9599999999999999E-2</v>
      </c>
      <c r="AW64" s="15">
        <v>2.24E-2</v>
      </c>
      <c r="AX64" s="15" t="s">
        <v>54</v>
      </c>
      <c r="AY64" s="15">
        <v>4</v>
      </c>
      <c r="AZ64" s="15">
        <v>1.5E-3</v>
      </c>
      <c r="BA64" s="15">
        <v>4.0000000000000002E-4</v>
      </c>
      <c r="BB64" s="15" t="s">
        <v>54</v>
      </c>
      <c r="BC64" s="15">
        <v>4</v>
      </c>
      <c r="BD64" s="15">
        <v>0.1681</v>
      </c>
      <c r="BE64" s="15">
        <v>4.2000000000000003E-2</v>
      </c>
      <c r="BF64" s="15" t="s">
        <v>54</v>
      </c>
      <c r="BG64" s="15">
        <v>4</v>
      </c>
      <c r="BH64" s="15">
        <v>3.0300000000000001E-2</v>
      </c>
      <c r="BI64" s="15">
        <v>7.6E-3</v>
      </c>
      <c r="BJ64" s="15" t="s">
        <v>54</v>
      </c>
      <c r="BK64" s="15">
        <v>4</v>
      </c>
      <c r="BL64" s="15">
        <v>3.3E-3</v>
      </c>
      <c r="BM64" s="15">
        <v>8.0000000000000004E-4</v>
      </c>
      <c r="BN64" s="15" t="s">
        <v>54</v>
      </c>
      <c r="BO64" s="15">
        <v>4</v>
      </c>
      <c r="BP64" s="15">
        <v>0.99809999999999999</v>
      </c>
      <c r="BQ64" s="15">
        <v>0.2495</v>
      </c>
      <c r="BR64" s="15" t="s">
        <v>54</v>
      </c>
      <c r="BS64" s="15">
        <v>4</v>
      </c>
      <c r="BT64" s="15">
        <v>0.17369999999999999</v>
      </c>
      <c r="BU64" s="15">
        <v>4.3400000000000001E-2</v>
      </c>
      <c r="BV64" s="15" t="s">
        <v>54</v>
      </c>
      <c r="BW64" s="15">
        <v>4</v>
      </c>
      <c r="BX64" s="15">
        <v>8.1299999999999997E-2</v>
      </c>
      <c r="BY64" s="15">
        <v>2.0299999999999999E-2</v>
      </c>
      <c r="BZ64" s="15" t="s">
        <v>54</v>
      </c>
      <c r="CA64" s="15">
        <v>4</v>
      </c>
      <c r="CB64" s="15">
        <v>0.36630000000000001</v>
      </c>
      <c r="CC64" s="15">
        <v>9.1600000000000001E-2</v>
      </c>
      <c r="CD64" s="15" t="s">
        <v>54</v>
      </c>
      <c r="CE64" s="15">
        <v>4</v>
      </c>
      <c r="CF64" s="15">
        <v>0.1205</v>
      </c>
      <c r="CG64" s="15">
        <v>3.0099999999999998E-2</v>
      </c>
      <c r="CH64" s="15" t="s">
        <v>54</v>
      </c>
      <c r="CI64" s="15">
        <v>4</v>
      </c>
      <c r="CJ64" s="15">
        <v>4.0500000000000001E-2</v>
      </c>
      <c r="CK64" s="15">
        <v>1.01E-2</v>
      </c>
      <c r="CL64" s="15" t="s">
        <v>54</v>
      </c>
      <c r="CM64" s="15">
        <v>4</v>
      </c>
      <c r="CN64" s="15">
        <v>0.1206</v>
      </c>
      <c r="CO64" s="15">
        <v>3.0099999999999998E-2</v>
      </c>
      <c r="CP64" s="15" t="s">
        <v>54</v>
      </c>
      <c r="CQ64" s="15">
        <v>4</v>
      </c>
      <c r="CR64" s="15">
        <v>6.4799999999999996E-2</v>
      </c>
      <c r="CS64" s="15">
        <v>1.6199999999999999E-2</v>
      </c>
      <c r="CT64" s="15" t="s">
        <v>54</v>
      </c>
      <c r="CU64" s="15">
        <v>4</v>
      </c>
      <c r="CV64" s="15">
        <v>1.32E-2</v>
      </c>
      <c r="CW64" s="15">
        <v>3.3E-3</v>
      </c>
      <c r="CX64" s="15" t="s">
        <v>54</v>
      </c>
      <c r="CY64" s="15">
        <v>4</v>
      </c>
      <c r="CZ64" s="15">
        <v>1.3503000000000001</v>
      </c>
      <c r="DA64" s="15">
        <v>0.33760000000000001</v>
      </c>
      <c r="DB64" s="15" t="s">
        <v>54</v>
      </c>
      <c r="DC64" s="15">
        <v>4</v>
      </c>
      <c r="DD64" s="15">
        <v>5.2499999999999998E-2</v>
      </c>
      <c r="DE64" s="15">
        <v>1.3100000000000001E-2</v>
      </c>
      <c r="DF64" s="15" t="s">
        <v>54</v>
      </c>
      <c r="DG64" s="15">
        <v>4</v>
      </c>
      <c r="DH64" s="15">
        <v>6.5600000000000006E-2</v>
      </c>
      <c r="DI64" s="15">
        <v>1.6400000000000001E-2</v>
      </c>
      <c r="DJ64" s="15" t="s">
        <v>54</v>
      </c>
      <c r="DK64" s="15">
        <v>4</v>
      </c>
      <c r="DL64" s="15">
        <v>1.2474000000000001</v>
      </c>
      <c r="DM64" s="15">
        <v>0.31180000000000002</v>
      </c>
      <c r="DN64" s="15" t="s">
        <v>54</v>
      </c>
      <c r="DO64" s="15">
        <v>4</v>
      </c>
      <c r="DP64" s="15">
        <v>5.6899999999999999E-2</v>
      </c>
      <c r="DQ64" s="15">
        <v>1.4200000000000001E-2</v>
      </c>
      <c r="DR64" s="15" t="s">
        <v>54</v>
      </c>
      <c r="DS64" s="15">
        <v>4</v>
      </c>
      <c r="DT64" s="15">
        <v>3.1300000000000001E-2</v>
      </c>
      <c r="DU64" s="15">
        <v>7.7999999999999996E-3</v>
      </c>
      <c r="DV64" s="15" t="s">
        <v>54</v>
      </c>
      <c r="DW64" s="15">
        <v>4</v>
      </c>
      <c r="DX64" s="15">
        <v>1.2771999999999999</v>
      </c>
      <c r="DY64" s="15">
        <v>0.31929999999999997</v>
      </c>
      <c r="DZ64" s="15" t="s">
        <v>54</v>
      </c>
      <c r="EA64" s="15">
        <v>4</v>
      </c>
      <c r="EB64" s="15">
        <v>0.13370000000000001</v>
      </c>
      <c r="EC64" s="15">
        <v>3.3399999999999999E-2</v>
      </c>
      <c r="ED64" s="15" t="s">
        <v>54</v>
      </c>
      <c r="EE64" s="15">
        <v>4</v>
      </c>
      <c r="EF64" s="15">
        <v>0.04</v>
      </c>
      <c r="EG64" s="15">
        <v>0.01</v>
      </c>
    </row>
    <row r="65" spans="1:137" ht="15.6" thickTop="1" thickBot="1" x14ac:dyDescent="0.35">
      <c r="A65" s="90"/>
      <c r="B65" s="91">
        <v>2017</v>
      </c>
      <c r="C65" s="85">
        <v>107125</v>
      </c>
      <c r="D65" s="86">
        <v>4</v>
      </c>
      <c r="E65" s="19">
        <f t="shared" si="20"/>
        <v>3.7339556592765457</v>
      </c>
      <c r="F65" s="19">
        <f t="shared" si="21"/>
        <v>1.3174681701900379</v>
      </c>
      <c r="G65" s="25"/>
      <c r="H65" s="21"/>
      <c r="I65" s="92"/>
      <c r="J65" s="92"/>
      <c r="K65" s="93"/>
      <c r="L65" s="85">
        <v>59009</v>
      </c>
      <c r="M65" s="86">
        <v>15</v>
      </c>
      <c r="N65" s="19">
        <f t="shared" ref="N65:N117" si="24">(M65/L65)*100000</f>
        <v>25.41985120913759</v>
      </c>
      <c r="O65" s="19">
        <f t="shared" ref="O65:O117" si="25">LN(N65)</f>
        <v>3.2355304124451054</v>
      </c>
      <c r="P65" s="25"/>
      <c r="Q65" s="21"/>
      <c r="R65" s="92"/>
      <c r="S65" s="92"/>
      <c r="T65" s="93"/>
      <c r="U65" s="85">
        <v>28112</v>
      </c>
      <c r="V65" s="94">
        <v>66</v>
      </c>
      <c r="W65" s="19">
        <f>(V65/U65)*100000</f>
        <v>234.77518497438814</v>
      </c>
      <c r="X65" s="19">
        <f t="shared" si="23"/>
        <v>5.4586283965697753</v>
      </c>
      <c r="Y65" s="25"/>
      <c r="Z65" s="21"/>
      <c r="AA65" s="92"/>
      <c r="AB65" s="92"/>
      <c r="AC65" s="95"/>
      <c r="AD65" s="15" t="s">
        <v>67</v>
      </c>
      <c r="AE65" s="15">
        <v>5</v>
      </c>
      <c r="AF65" s="15">
        <v>0.63939999999999997</v>
      </c>
      <c r="AG65" s="15" t="s">
        <v>68</v>
      </c>
      <c r="AH65" s="15" t="s">
        <v>67</v>
      </c>
      <c r="AI65" s="15">
        <v>5</v>
      </c>
      <c r="AJ65" s="15">
        <v>0.20710000000000001</v>
      </c>
      <c r="AK65" s="15" t="s">
        <v>68</v>
      </c>
      <c r="AL65" s="15" t="s">
        <v>67</v>
      </c>
      <c r="AM65" s="15">
        <v>5</v>
      </c>
      <c r="AN65" s="15">
        <v>0.11219999999999999</v>
      </c>
      <c r="AO65" s="15" t="s">
        <v>68</v>
      </c>
      <c r="AP65" s="15" t="s">
        <v>67</v>
      </c>
      <c r="AQ65" s="15">
        <v>5</v>
      </c>
      <c r="AR65" s="15">
        <v>0.22589999999999999</v>
      </c>
      <c r="AS65" s="15" t="s">
        <v>68</v>
      </c>
      <c r="AT65" s="15" t="s">
        <v>67</v>
      </c>
      <c r="AU65" s="15">
        <v>5</v>
      </c>
      <c r="AV65" s="15">
        <v>0.2626</v>
      </c>
      <c r="AW65" s="15" t="s">
        <v>68</v>
      </c>
      <c r="AX65" s="15" t="s">
        <v>67</v>
      </c>
      <c r="AY65" s="15">
        <v>5</v>
      </c>
      <c r="AZ65" s="15">
        <v>0.21210000000000001</v>
      </c>
      <c r="BA65" s="15" t="s">
        <v>68</v>
      </c>
      <c r="BB65" s="15" t="s">
        <v>67</v>
      </c>
      <c r="BC65" s="15">
        <v>5</v>
      </c>
      <c r="BD65" s="15">
        <v>0.21229999999999999</v>
      </c>
      <c r="BE65" s="15" t="s">
        <v>68</v>
      </c>
      <c r="BF65" s="15" t="s">
        <v>67</v>
      </c>
      <c r="BG65" s="15">
        <v>5</v>
      </c>
      <c r="BH65" s="15">
        <v>8.0799999999999997E-2</v>
      </c>
      <c r="BI65" s="15" t="s">
        <v>68</v>
      </c>
      <c r="BJ65" s="15" t="s">
        <v>67</v>
      </c>
      <c r="BK65" s="15">
        <v>5</v>
      </c>
      <c r="BL65" s="15">
        <v>0.10970000000000001</v>
      </c>
      <c r="BM65" s="15" t="s">
        <v>68</v>
      </c>
      <c r="BN65" s="15" t="s">
        <v>67</v>
      </c>
      <c r="BO65" s="15">
        <v>5</v>
      </c>
      <c r="BP65" s="15">
        <v>1.0961000000000001</v>
      </c>
      <c r="BQ65" s="15" t="s">
        <v>68</v>
      </c>
      <c r="BR65" s="15" t="s">
        <v>67</v>
      </c>
      <c r="BS65" s="15">
        <v>5</v>
      </c>
      <c r="BT65" s="15">
        <v>0.26379999999999998</v>
      </c>
      <c r="BU65" s="15" t="s">
        <v>68</v>
      </c>
      <c r="BV65" s="15" t="s">
        <v>67</v>
      </c>
      <c r="BW65" s="15">
        <v>5</v>
      </c>
      <c r="BX65" s="15">
        <v>0.25629999999999997</v>
      </c>
      <c r="BY65" s="15" t="s">
        <v>68</v>
      </c>
      <c r="BZ65" s="15" t="s">
        <v>67</v>
      </c>
      <c r="CA65" s="15">
        <v>5</v>
      </c>
      <c r="CB65" s="15">
        <v>0.628</v>
      </c>
      <c r="CC65" s="15" t="s">
        <v>68</v>
      </c>
      <c r="CD65" s="15" t="s">
        <v>67</v>
      </c>
      <c r="CE65" s="15">
        <v>5</v>
      </c>
      <c r="CF65" s="15">
        <v>0.15260000000000001</v>
      </c>
      <c r="CG65" s="15" t="s">
        <v>68</v>
      </c>
      <c r="CH65" s="15" t="s">
        <v>67</v>
      </c>
      <c r="CI65" s="15">
        <v>5</v>
      </c>
      <c r="CJ65" s="15">
        <v>7.0099999999999996E-2</v>
      </c>
      <c r="CK65" s="15" t="s">
        <v>68</v>
      </c>
      <c r="CL65" s="15" t="s">
        <v>67</v>
      </c>
      <c r="CM65" s="15">
        <v>5</v>
      </c>
      <c r="CN65" s="15">
        <v>0.128</v>
      </c>
      <c r="CO65" s="15" t="s">
        <v>68</v>
      </c>
      <c r="CP65" s="15" t="s">
        <v>67</v>
      </c>
      <c r="CQ65" s="15">
        <v>5</v>
      </c>
      <c r="CR65" s="15">
        <v>0.1231</v>
      </c>
      <c r="CS65" s="15" t="s">
        <v>68</v>
      </c>
      <c r="CT65" s="15" t="s">
        <v>67</v>
      </c>
      <c r="CU65" s="15">
        <v>5</v>
      </c>
      <c r="CV65" s="15">
        <v>9.35E-2</v>
      </c>
      <c r="CW65" s="15" t="s">
        <v>68</v>
      </c>
      <c r="CX65" s="15" t="s">
        <v>67</v>
      </c>
      <c r="CY65" s="15">
        <v>5</v>
      </c>
      <c r="CZ65" s="15">
        <v>1.9191</v>
      </c>
      <c r="DA65" s="15" t="s">
        <v>68</v>
      </c>
      <c r="DB65" s="15" t="s">
        <v>67</v>
      </c>
      <c r="DC65" s="15">
        <v>5</v>
      </c>
      <c r="DD65" s="15">
        <v>8.3000000000000004E-2</v>
      </c>
      <c r="DE65" s="15" t="s">
        <v>68</v>
      </c>
      <c r="DF65" s="15" t="s">
        <v>67</v>
      </c>
      <c r="DG65" s="15">
        <v>5</v>
      </c>
      <c r="DH65" s="15">
        <v>0.1227</v>
      </c>
      <c r="DI65" s="15" t="s">
        <v>68</v>
      </c>
      <c r="DJ65" s="15" t="s">
        <v>67</v>
      </c>
      <c r="DK65" s="15">
        <v>5</v>
      </c>
      <c r="DL65" s="15">
        <v>1.2476</v>
      </c>
      <c r="DM65" s="15" t="s">
        <v>68</v>
      </c>
      <c r="DN65" s="15" t="s">
        <v>67</v>
      </c>
      <c r="DO65" s="15">
        <v>5</v>
      </c>
      <c r="DP65" s="15">
        <v>7.46E-2</v>
      </c>
      <c r="DQ65" s="15" t="s">
        <v>68</v>
      </c>
      <c r="DR65" s="15" t="s">
        <v>67</v>
      </c>
      <c r="DS65" s="15">
        <v>5</v>
      </c>
      <c r="DT65" s="15">
        <v>3.2399999999999998E-2</v>
      </c>
      <c r="DU65" s="15" t="s">
        <v>68</v>
      </c>
      <c r="DV65" s="15" t="s">
        <v>67</v>
      </c>
      <c r="DW65" s="15">
        <v>5</v>
      </c>
      <c r="DX65" s="15">
        <v>2.0764999999999998</v>
      </c>
      <c r="DY65" s="15" t="s">
        <v>68</v>
      </c>
      <c r="DZ65" s="15" t="s">
        <v>67</v>
      </c>
      <c r="EA65" s="15">
        <v>5</v>
      </c>
      <c r="EB65" s="15">
        <v>0.13750000000000001</v>
      </c>
      <c r="EC65" s="15" t="s">
        <v>68</v>
      </c>
      <c r="ED65" s="15" t="s">
        <v>67</v>
      </c>
      <c r="EE65" s="15">
        <v>5</v>
      </c>
      <c r="EF65" s="15">
        <v>0.16769999999999999</v>
      </c>
      <c r="EG65" s="15" t="s">
        <v>68</v>
      </c>
    </row>
    <row r="66" spans="1:137" ht="15.6" thickTop="1" thickBot="1" x14ac:dyDescent="0.35">
      <c r="A66" s="90"/>
      <c r="B66" s="91">
        <v>2018</v>
      </c>
      <c r="C66" s="85">
        <v>110769</v>
      </c>
      <c r="D66" s="86">
        <v>5</v>
      </c>
      <c r="E66" s="19">
        <f t="shared" si="20"/>
        <v>4.5138982928436659</v>
      </c>
      <c r="F66" s="19">
        <f t="shared" si="21"/>
        <v>1.5071611466491857</v>
      </c>
      <c r="G66" s="25"/>
      <c r="H66" s="21"/>
      <c r="I66" s="92"/>
      <c r="J66" s="92"/>
      <c r="K66" s="93"/>
      <c r="L66" s="85">
        <v>61168</v>
      </c>
      <c r="M66" s="86">
        <v>17</v>
      </c>
      <c r="N66" s="19">
        <f t="shared" si="24"/>
        <v>27.792309704420614</v>
      </c>
      <c r="O66" s="19">
        <f t="shared" si="25"/>
        <v>3.3247593530902506</v>
      </c>
      <c r="P66" s="25"/>
      <c r="Q66" s="21"/>
      <c r="R66" s="92"/>
      <c r="S66" s="92"/>
      <c r="T66" s="93"/>
      <c r="U66" s="85">
        <v>29023</v>
      </c>
      <c r="V66" s="86">
        <v>81</v>
      </c>
      <c r="W66" s="19">
        <f t="shared" si="22"/>
        <v>279.08899838059466</v>
      </c>
      <c r="X66" s="19">
        <f>LN(W66)</f>
        <v>5.6315307215661283</v>
      </c>
      <c r="Y66" s="25"/>
      <c r="Z66" s="21"/>
      <c r="AA66" s="92"/>
      <c r="AB66" s="92"/>
      <c r="AC66" s="9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</row>
    <row r="67" spans="1:137" ht="15.6" thickTop="1" thickBot="1" x14ac:dyDescent="0.35">
      <c r="A67" s="90"/>
      <c r="B67" s="91">
        <v>2019</v>
      </c>
      <c r="C67" s="85">
        <v>114465</v>
      </c>
      <c r="D67" s="86">
        <v>2</v>
      </c>
      <c r="E67" s="19">
        <f t="shared" si="20"/>
        <v>1.747258987463417</v>
      </c>
      <c r="F67" s="19">
        <f t="shared" si="21"/>
        <v>0.55804826713833067</v>
      </c>
      <c r="G67" s="25"/>
      <c r="H67" s="21"/>
      <c r="I67" s="92"/>
      <c r="J67" s="92"/>
      <c r="K67" s="93"/>
      <c r="L67" s="85">
        <v>63482</v>
      </c>
      <c r="M67" s="86">
        <v>27</v>
      </c>
      <c r="N67" s="19">
        <f t="shared" si="24"/>
        <v>42.531741280993039</v>
      </c>
      <c r="O67" s="19">
        <f t="shared" si="25"/>
        <v>3.7502506508443778</v>
      </c>
      <c r="P67" s="25"/>
      <c r="Q67" s="21"/>
      <c r="R67" s="92"/>
      <c r="S67" s="92"/>
      <c r="T67" s="93"/>
      <c r="U67" s="85">
        <v>29985</v>
      </c>
      <c r="V67" s="86">
        <v>88</v>
      </c>
      <c r="W67" s="19">
        <f t="shared" si="22"/>
        <v>293.48007337001837</v>
      </c>
      <c r="X67" s="19">
        <f t="shared" si="23"/>
        <v>5.6818097438458253</v>
      </c>
      <c r="Y67" s="25"/>
      <c r="Z67" s="21"/>
      <c r="AA67" s="92"/>
      <c r="AB67" s="92"/>
      <c r="AC67" s="95"/>
      <c r="AD67" s="15" t="s">
        <v>75</v>
      </c>
      <c r="AE67" s="15">
        <v>2.9771999999999998</v>
      </c>
      <c r="AF67" s="15" t="s">
        <v>342</v>
      </c>
      <c r="AG67" s="15"/>
      <c r="AH67" s="15" t="s">
        <v>75</v>
      </c>
      <c r="AI67" s="15">
        <v>2.6012</v>
      </c>
      <c r="AJ67" s="15" t="s">
        <v>343</v>
      </c>
      <c r="AK67" s="15"/>
      <c r="AL67" s="15" t="s">
        <v>75</v>
      </c>
      <c r="AM67" s="15">
        <v>19.295300000000001</v>
      </c>
      <c r="AN67" s="15" t="s">
        <v>344</v>
      </c>
      <c r="AO67" s="15"/>
      <c r="AP67" s="15" t="s">
        <v>75</v>
      </c>
      <c r="AQ67" s="15">
        <v>0.2059</v>
      </c>
      <c r="AR67" s="15" t="s">
        <v>345</v>
      </c>
      <c r="AS67" s="15"/>
      <c r="AT67" s="15" t="s">
        <v>75</v>
      </c>
      <c r="AU67" s="15">
        <v>7.7240000000000002</v>
      </c>
      <c r="AV67" s="15" t="s">
        <v>346</v>
      </c>
      <c r="AW67" s="15"/>
      <c r="AX67" s="15" t="s">
        <v>75</v>
      </c>
      <c r="AY67" s="15">
        <v>568.59640000000002</v>
      </c>
      <c r="AZ67" s="15" t="s">
        <v>347</v>
      </c>
      <c r="BA67" s="15"/>
      <c r="BB67" s="15" t="s">
        <v>75</v>
      </c>
      <c r="BC67" s="15">
        <v>1.0530999999999999</v>
      </c>
      <c r="BD67" s="15" t="s">
        <v>348</v>
      </c>
      <c r="BE67" s="15"/>
      <c r="BF67" s="15" t="s">
        <v>75</v>
      </c>
      <c r="BG67" s="15">
        <v>6.6637000000000004</v>
      </c>
      <c r="BH67" s="15" t="s">
        <v>349</v>
      </c>
      <c r="BI67" s="15"/>
      <c r="BJ67" s="15" t="s">
        <v>75</v>
      </c>
      <c r="BK67" s="15">
        <v>129.8415</v>
      </c>
      <c r="BL67" s="15" t="s">
        <v>350</v>
      </c>
      <c r="BM67" s="15"/>
      <c r="BN67" s="15" t="s">
        <v>75</v>
      </c>
      <c r="BO67" s="15">
        <v>0.39300000000000002</v>
      </c>
      <c r="BP67" s="15" t="s">
        <v>351</v>
      </c>
      <c r="BQ67" s="15"/>
      <c r="BR67" s="15" t="s">
        <v>75</v>
      </c>
      <c r="BS67" s="15">
        <v>2.0720000000000001</v>
      </c>
      <c r="BT67" s="15" t="s">
        <v>352</v>
      </c>
      <c r="BU67" s="15"/>
      <c r="BV67" s="15" t="s">
        <v>75</v>
      </c>
      <c r="BW67" s="15">
        <v>8.6066000000000003</v>
      </c>
      <c r="BX67" s="15" t="s">
        <v>353</v>
      </c>
      <c r="BY67" s="15"/>
      <c r="BZ67" s="15" t="s">
        <v>75</v>
      </c>
      <c r="CA67" s="15">
        <v>2.8576000000000001</v>
      </c>
      <c r="CB67" s="15" t="s">
        <v>354</v>
      </c>
      <c r="CC67" s="15"/>
      <c r="CD67" s="15" t="s">
        <v>75</v>
      </c>
      <c r="CE67" s="15">
        <v>1.0673999999999999</v>
      </c>
      <c r="CF67" s="15" t="s">
        <v>355</v>
      </c>
      <c r="CG67" s="15"/>
      <c r="CH67" s="15" t="s">
        <v>75</v>
      </c>
      <c r="CI67" s="15">
        <v>2.9249999999999998</v>
      </c>
      <c r="CJ67" s="15" t="s">
        <v>356</v>
      </c>
      <c r="CK67" s="15"/>
      <c r="CL67" s="15" t="s">
        <v>75</v>
      </c>
      <c r="CM67" s="15">
        <v>0.24560000000000001</v>
      </c>
      <c r="CN67" s="15" t="s">
        <v>357</v>
      </c>
      <c r="CO67" s="15"/>
      <c r="CP67" s="15" t="s">
        <v>75</v>
      </c>
      <c r="CQ67" s="15">
        <v>3.5958999999999999</v>
      </c>
      <c r="CR67" s="15" t="s">
        <v>358</v>
      </c>
      <c r="CS67" s="15"/>
      <c r="CT67" s="15" t="s">
        <v>75</v>
      </c>
      <c r="CU67" s="15">
        <v>24.238600000000002</v>
      </c>
      <c r="CV67" s="15" t="s">
        <v>359</v>
      </c>
      <c r="CW67" s="15"/>
      <c r="CX67" s="15" t="s">
        <v>75</v>
      </c>
      <c r="CY67" s="15">
        <v>1.6850000000000001</v>
      </c>
      <c r="CZ67" s="15" t="s">
        <v>360</v>
      </c>
      <c r="DA67" s="15"/>
      <c r="DB67" s="15" t="s">
        <v>75</v>
      </c>
      <c r="DC67" s="15">
        <v>2.3180000000000001</v>
      </c>
      <c r="DD67" s="15" t="s">
        <v>361</v>
      </c>
      <c r="DE67" s="15"/>
      <c r="DF67" s="15" t="s">
        <v>75</v>
      </c>
      <c r="DG67" s="15">
        <v>3.4847999999999999</v>
      </c>
      <c r="DH67" s="15" t="s">
        <v>362</v>
      </c>
      <c r="DI67" s="15"/>
      <c r="DJ67" s="15" t="s">
        <v>75</v>
      </c>
      <c r="DK67" s="15">
        <v>6.9999999999999999E-4</v>
      </c>
      <c r="DL67" s="15" t="s">
        <v>363</v>
      </c>
      <c r="DM67" s="15"/>
      <c r="DN67" s="15" t="s">
        <v>75</v>
      </c>
      <c r="DO67" s="15">
        <v>1.2363</v>
      </c>
      <c r="DP67" s="15" t="s">
        <v>364</v>
      </c>
      <c r="DQ67" s="15"/>
      <c r="DR67" s="15" t="s">
        <v>75</v>
      </c>
      <c r="DS67" s="15">
        <v>0.1331</v>
      </c>
      <c r="DT67" s="15" t="s">
        <v>365</v>
      </c>
      <c r="DU67" s="15"/>
      <c r="DV67" s="15" t="s">
        <v>75</v>
      </c>
      <c r="DW67" s="15">
        <v>2.5032000000000001</v>
      </c>
      <c r="DX67" s="15" t="s">
        <v>366</v>
      </c>
      <c r="DY67" s="15"/>
      <c r="DZ67" s="15" t="s">
        <v>75</v>
      </c>
      <c r="EA67" s="15">
        <v>0.11559999999999999</v>
      </c>
      <c r="EB67" s="15" t="s">
        <v>367</v>
      </c>
      <c r="EC67" s="15"/>
      <c r="ED67" s="15" t="s">
        <v>75</v>
      </c>
      <c r="EE67" s="15">
        <v>12.7819</v>
      </c>
      <c r="EF67" s="15" t="s">
        <v>368</v>
      </c>
      <c r="EG67" s="15"/>
    </row>
    <row r="68" spans="1:137" ht="15.6" thickTop="1" thickBot="1" x14ac:dyDescent="0.35">
      <c r="A68" s="90"/>
      <c r="B68" s="91">
        <v>2020</v>
      </c>
      <c r="C68" s="85">
        <v>118129</v>
      </c>
      <c r="D68" s="86">
        <v>3</v>
      </c>
      <c r="E68" s="19">
        <f t="shared" si="20"/>
        <v>2.5395965427625731</v>
      </c>
      <c r="F68" s="19">
        <f t="shared" si="21"/>
        <v>0.93200522698175103</v>
      </c>
      <c r="G68" s="25"/>
      <c r="H68" s="21"/>
      <c r="I68" s="92"/>
      <c r="J68" s="92"/>
      <c r="K68" s="93"/>
      <c r="L68" s="85">
        <v>65846</v>
      </c>
      <c r="M68" s="86">
        <v>22</v>
      </c>
      <c r="N68" s="19">
        <f t="shared" si="24"/>
        <v>33.41129301703976</v>
      </c>
      <c r="O68" s="19">
        <f t="shared" si="25"/>
        <v>3.5088939571175297</v>
      </c>
      <c r="P68" s="25"/>
      <c r="Q68" s="21"/>
      <c r="R68" s="92"/>
      <c r="S68" s="92"/>
      <c r="T68" s="93"/>
      <c r="U68" s="85">
        <v>30793</v>
      </c>
      <c r="V68" s="86">
        <v>84</v>
      </c>
      <c r="W68" s="19">
        <f t="shared" si="22"/>
        <v>272.78927028870197</v>
      </c>
      <c r="X68" s="19">
        <f t="shared" si="23"/>
        <v>5.6086995934095087</v>
      </c>
      <c r="Y68" s="25"/>
      <c r="Z68" s="21"/>
      <c r="AA68" s="92"/>
      <c r="AB68" s="92"/>
      <c r="AC68" s="95"/>
      <c r="AD68" s="15" t="s">
        <v>107</v>
      </c>
      <c r="AE68" s="15" t="s">
        <v>108</v>
      </c>
      <c r="AF68" s="15"/>
      <c r="AG68" s="15"/>
      <c r="AH68" s="15" t="s">
        <v>107</v>
      </c>
      <c r="AI68" s="15" t="s">
        <v>108</v>
      </c>
      <c r="AJ68" s="15"/>
      <c r="AK68" s="15"/>
      <c r="AL68" s="15" t="s">
        <v>107</v>
      </c>
      <c r="AM68" s="15" t="s">
        <v>108</v>
      </c>
      <c r="AN68" s="15"/>
      <c r="AO68" s="15"/>
      <c r="AP68" s="15" t="s">
        <v>107</v>
      </c>
      <c r="AQ68" s="15" t="s">
        <v>108</v>
      </c>
      <c r="AR68" s="15"/>
      <c r="AS68" s="15"/>
      <c r="AT68" s="15" t="s">
        <v>107</v>
      </c>
      <c r="AU68" s="15" t="s">
        <v>108</v>
      </c>
      <c r="AV68" s="15"/>
      <c r="AW68" s="15"/>
      <c r="AX68" s="15" t="s">
        <v>107</v>
      </c>
      <c r="AY68" s="15" t="s">
        <v>108</v>
      </c>
      <c r="AZ68" s="15"/>
      <c r="BA68" s="15"/>
      <c r="BB68" s="15" t="s">
        <v>107</v>
      </c>
      <c r="BC68" s="15" t="s">
        <v>108</v>
      </c>
      <c r="BD68" s="15"/>
      <c r="BE68" s="15"/>
      <c r="BF68" s="15" t="s">
        <v>107</v>
      </c>
      <c r="BG68" s="15" t="s">
        <v>108</v>
      </c>
      <c r="BH68" s="15"/>
      <c r="BI68" s="15"/>
      <c r="BJ68" s="15" t="s">
        <v>107</v>
      </c>
      <c r="BK68" s="15" t="s">
        <v>108</v>
      </c>
      <c r="BL68" s="15"/>
      <c r="BM68" s="15"/>
      <c r="BN68" s="15" t="s">
        <v>107</v>
      </c>
      <c r="BO68" s="15" t="s">
        <v>108</v>
      </c>
      <c r="BP68" s="15"/>
      <c r="BQ68" s="15"/>
      <c r="BR68" s="15" t="s">
        <v>107</v>
      </c>
      <c r="BS68" s="15" t="s">
        <v>108</v>
      </c>
      <c r="BT68" s="15"/>
      <c r="BU68" s="15"/>
      <c r="BV68" s="15" t="s">
        <v>107</v>
      </c>
      <c r="BW68" s="15" t="s">
        <v>108</v>
      </c>
      <c r="BX68" s="15"/>
      <c r="BY68" s="15"/>
      <c r="BZ68" s="15" t="s">
        <v>107</v>
      </c>
      <c r="CA68" s="15" t="s">
        <v>108</v>
      </c>
      <c r="CB68" s="15"/>
      <c r="CC68" s="15"/>
      <c r="CD68" s="15" t="s">
        <v>107</v>
      </c>
      <c r="CE68" s="15" t="s">
        <v>108</v>
      </c>
      <c r="CF68" s="15"/>
      <c r="CG68" s="15"/>
      <c r="CH68" s="15" t="s">
        <v>107</v>
      </c>
      <c r="CI68" s="15" t="s">
        <v>108</v>
      </c>
      <c r="CJ68" s="15"/>
      <c r="CK68" s="15"/>
      <c r="CL68" s="15" t="s">
        <v>107</v>
      </c>
      <c r="CM68" s="15" t="s">
        <v>108</v>
      </c>
      <c r="CN68" s="15"/>
      <c r="CO68" s="15"/>
      <c r="CP68" s="15" t="s">
        <v>107</v>
      </c>
      <c r="CQ68" s="15" t="s">
        <v>108</v>
      </c>
      <c r="CR68" s="15"/>
      <c r="CS68" s="15"/>
      <c r="CT68" s="15" t="s">
        <v>107</v>
      </c>
      <c r="CU68" s="15" t="s">
        <v>108</v>
      </c>
      <c r="CV68" s="15"/>
      <c r="CW68" s="15"/>
      <c r="CX68" s="15" t="s">
        <v>107</v>
      </c>
      <c r="CY68" s="15" t="s">
        <v>108</v>
      </c>
      <c r="CZ68" s="15"/>
      <c r="DA68" s="15"/>
      <c r="DB68" s="15" t="s">
        <v>107</v>
      </c>
      <c r="DC68" s="15" t="s">
        <v>108</v>
      </c>
      <c r="DD68" s="15"/>
      <c r="DE68" s="15"/>
      <c r="DF68" s="15" t="s">
        <v>107</v>
      </c>
      <c r="DG68" s="15" t="s">
        <v>108</v>
      </c>
      <c r="DH68" s="15"/>
      <c r="DI68" s="15"/>
      <c r="DJ68" s="15" t="s">
        <v>107</v>
      </c>
      <c r="DK68" s="15" t="s">
        <v>108</v>
      </c>
      <c r="DL68" s="15"/>
      <c r="DM68" s="15"/>
      <c r="DN68" s="15" t="s">
        <v>107</v>
      </c>
      <c r="DO68" s="15" t="s">
        <v>108</v>
      </c>
      <c r="DP68" s="15"/>
      <c r="DQ68" s="15"/>
      <c r="DR68" s="15" t="s">
        <v>107</v>
      </c>
      <c r="DS68" s="15" t="s">
        <v>108</v>
      </c>
      <c r="DT68" s="15"/>
      <c r="DU68" s="15"/>
      <c r="DV68" s="15" t="s">
        <v>107</v>
      </c>
      <c r="DW68" s="15" t="s">
        <v>108</v>
      </c>
      <c r="DX68" s="15"/>
      <c r="DY68" s="15"/>
      <c r="DZ68" s="15" t="s">
        <v>107</v>
      </c>
      <c r="EA68" s="15" t="s">
        <v>108</v>
      </c>
      <c r="EB68" s="15"/>
      <c r="EC68" s="15"/>
      <c r="ED68" s="15" t="s">
        <v>107</v>
      </c>
      <c r="EE68" s="15" t="s">
        <v>108</v>
      </c>
      <c r="EF68" s="15"/>
      <c r="EG68" s="15"/>
    </row>
    <row r="69" spans="1:137" ht="15.6" thickTop="1" thickBot="1" x14ac:dyDescent="0.35">
      <c r="A69" s="96"/>
      <c r="B69" s="91">
        <v>2021</v>
      </c>
      <c r="C69" s="85">
        <v>121689</v>
      </c>
      <c r="D69" s="86">
        <v>3</v>
      </c>
      <c r="E69" s="19">
        <f t="shared" si="20"/>
        <v>2.4653008899736211</v>
      </c>
      <c r="F69" s="19">
        <f t="shared" si="21"/>
        <v>0.90231386494336063</v>
      </c>
      <c r="G69" s="34"/>
      <c r="H69" s="21"/>
      <c r="I69" s="97"/>
      <c r="J69" s="97"/>
      <c r="K69" s="98"/>
      <c r="L69" s="85">
        <v>68289</v>
      </c>
      <c r="M69" s="86">
        <v>21</v>
      </c>
      <c r="N69" s="19">
        <f t="shared" si="24"/>
        <v>30.751658393006196</v>
      </c>
      <c r="O69" s="19">
        <f t="shared" si="25"/>
        <v>3.4259439242781533</v>
      </c>
      <c r="P69" s="34"/>
      <c r="Q69" s="21"/>
      <c r="R69" s="97"/>
      <c r="S69" s="97"/>
      <c r="T69" s="98"/>
      <c r="U69" s="85">
        <v>31460</v>
      </c>
      <c r="V69" s="86">
        <v>101</v>
      </c>
      <c r="W69" s="19">
        <f t="shared" si="22"/>
        <v>321.04259376986653</v>
      </c>
      <c r="X69" s="19">
        <f t="shared" si="23"/>
        <v>5.7715738051992194</v>
      </c>
      <c r="Y69" s="34"/>
      <c r="Z69" s="21"/>
      <c r="AA69" s="97"/>
      <c r="AB69" s="97"/>
      <c r="AC69" s="99"/>
      <c r="AD69" s="15" t="s">
        <v>113</v>
      </c>
      <c r="AE69" s="15" t="s">
        <v>114</v>
      </c>
      <c r="AF69" s="15"/>
      <c r="AG69" s="15"/>
      <c r="AH69" s="15" t="s">
        <v>113</v>
      </c>
      <c r="AI69" s="15" t="s">
        <v>114</v>
      </c>
      <c r="AJ69" s="15"/>
      <c r="AK69" s="15"/>
      <c r="AL69" s="15" t="s">
        <v>113</v>
      </c>
      <c r="AM69" s="15" t="s">
        <v>114</v>
      </c>
      <c r="AN69" s="15"/>
      <c r="AO69" s="15"/>
      <c r="AP69" s="15" t="s">
        <v>113</v>
      </c>
      <c r="AQ69" s="15" t="s">
        <v>114</v>
      </c>
      <c r="AR69" s="15"/>
      <c r="AS69" s="15"/>
      <c r="AT69" s="15" t="s">
        <v>113</v>
      </c>
      <c r="AU69" s="15" t="s">
        <v>114</v>
      </c>
      <c r="AV69" s="15"/>
      <c r="AW69" s="15"/>
      <c r="AX69" s="15" t="s">
        <v>113</v>
      </c>
      <c r="AY69" s="15" t="s">
        <v>114</v>
      </c>
      <c r="AZ69" s="15"/>
      <c r="BA69" s="15"/>
      <c r="BB69" s="15" t="s">
        <v>113</v>
      </c>
      <c r="BC69" s="15" t="s">
        <v>114</v>
      </c>
      <c r="BD69" s="15"/>
      <c r="BE69" s="15"/>
      <c r="BF69" s="15" t="s">
        <v>113</v>
      </c>
      <c r="BG69" s="15" t="s">
        <v>114</v>
      </c>
      <c r="BH69" s="15"/>
      <c r="BI69" s="15"/>
      <c r="BJ69" s="15" t="s">
        <v>113</v>
      </c>
      <c r="BK69" s="15" t="s">
        <v>114</v>
      </c>
      <c r="BL69" s="15"/>
      <c r="BM69" s="15"/>
      <c r="BN69" s="15" t="s">
        <v>113</v>
      </c>
      <c r="BO69" s="15" t="s">
        <v>114</v>
      </c>
      <c r="BP69" s="15"/>
      <c r="BQ69" s="15"/>
      <c r="BR69" s="15" t="s">
        <v>113</v>
      </c>
      <c r="BS69" s="15" t="s">
        <v>114</v>
      </c>
      <c r="BT69" s="15"/>
      <c r="BU69" s="15"/>
      <c r="BV69" s="15" t="s">
        <v>113</v>
      </c>
      <c r="BW69" s="15" t="s">
        <v>114</v>
      </c>
      <c r="BX69" s="15"/>
      <c r="BY69" s="15"/>
      <c r="BZ69" s="15" t="s">
        <v>113</v>
      </c>
      <c r="CA69" s="15" t="s">
        <v>114</v>
      </c>
      <c r="CB69" s="15"/>
      <c r="CC69" s="15"/>
      <c r="CD69" s="15" t="s">
        <v>113</v>
      </c>
      <c r="CE69" s="15" t="s">
        <v>114</v>
      </c>
      <c r="CF69" s="15"/>
      <c r="CG69" s="15"/>
      <c r="CH69" s="15" t="s">
        <v>113</v>
      </c>
      <c r="CI69" s="15" t="s">
        <v>114</v>
      </c>
      <c r="CJ69" s="15"/>
      <c r="CK69" s="15"/>
      <c r="CL69" s="15" t="s">
        <v>113</v>
      </c>
      <c r="CM69" s="15" t="s">
        <v>114</v>
      </c>
      <c r="CN69" s="15"/>
      <c r="CO69" s="15"/>
      <c r="CP69" s="15" t="s">
        <v>113</v>
      </c>
      <c r="CQ69" s="15" t="s">
        <v>114</v>
      </c>
      <c r="CR69" s="15"/>
      <c r="CS69" s="15"/>
      <c r="CT69" s="15" t="s">
        <v>113</v>
      </c>
      <c r="CU69" s="15" t="s">
        <v>114</v>
      </c>
      <c r="CV69" s="15"/>
      <c r="CW69" s="15"/>
      <c r="CX69" s="15" t="s">
        <v>113</v>
      </c>
      <c r="CY69" s="15" t="s">
        <v>114</v>
      </c>
      <c r="CZ69" s="15"/>
      <c r="DA69" s="15"/>
      <c r="DB69" s="15" t="s">
        <v>113</v>
      </c>
      <c r="DC69" s="15" t="s">
        <v>114</v>
      </c>
      <c r="DD69" s="15"/>
      <c r="DE69" s="15"/>
      <c r="DF69" s="15" t="s">
        <v>113</v>
      </c>
      <c r="DG69" s="15" t="s">
        <v>114</v>
      </c>
      <c r="DH69" s="15"/>
      <c r="DI69" s="15"/>
      <c r="DJ69" s="15" t="s">
        <v>113</v>
      </c>
      <c r="DK69" s="15" t="s">
        <v>114</v>
      </c>
      <c r="DL69" s="15"/>
      <c r="DM69" s="15"/>
      <c r="DN69" s="15" t="s">
        <v>113</v>
      </c>
      <c r="DO69" s="15" t="s">
        <v>114</v>
      </c>
      <c r="DP69" s="15"/>
      <c r="DQ69" s="15"/>
      <c r="DR69" s="15" t="s">
        <v>113</v>
      </c>
      <c r="DS69" s="15" t="s">
        <v>114</v>
      </c>
      <c r="DT69" s="15"/>
      <c r="DU69" s="15"/>
      <c r="DV69" s="15" t="s">
        <v>113</v>
      </c>
      <c r="DW69" s="15" t="s">
        <v>114</v>
      </c>
      <c r="DX69" s="15"/>
      <c r="DY69" s="15"/>
      <c r="DZ69" s="15" t="s">
        <v>113</v>
      </c>
      <c r="EA69" s="15" t="s">
        <v>114</v>
      </c>
      <c r="EB69" s="15"/>
      <c r="EC69" s="15"/>
      <c r="ED69" s="15" t="s">
        <v>113</v>
      </c>
      <c r="EE69" s="15" t="s">
        <v>114</v>
      </c>
      <c r="EF69" s="15"/>
      <c r="EG69" s="15"/>
    </row>
    <row r="70" spans="1:137" ht="15.6" thickTop="1" thickBot="1" x14ac:dyDescent="0.35">
      <c r="A70" s="100" t="s">
        <v>110</v>
      </c>
      <c r="B70" s="101">
        <v>2016</v>
      </c>
      <c r="C70" s="101">
        <v>505871</v>
      </c>
      <c r="D70" s="102">
        <v>15</v>
      </c>
      <c r="E70" s="19">
        <f t="shared" si="20"/>
        <v>2.965182823288941</v>
      </c>
      <c r="F70" s="19">
        <f t="shared" si="21"/>
        <v>1.0869386910172059</v>
      </c>
      <c r="G70" s="20">
        <v>-2.5100000000000001E-2</v>
      </c>
      <c r="H70" s="21">
        <f t="shared" ref="H70" si="26">(EXP(G70)-1)*100</f>
        <v>-2.4787614086483112</v>
      </c>
      <c r="I70" s="87">
        <f>(EXP(-0.179) - 1) * 100</f>
        <v>-16.389410060296449</v>
      </c>
      <c r="J70" s="87">
        <f>(EXP(0.129) - 1) * 100</f>
        <v>13.769012416573156</v>
      </c>
      <c r="K70" s="103">
        <v>0.67349999999999999</v>
      </c>
      <c r="L70" s="101">
        <v>301380</v>
      </c>
      <c r="M70" s="102">
        <v>59</v>
      </c>
      <c r="N70" s="19">
        <f t="shared" si="24"/>
        <v>19.576614241157344</v>
      </c>
      <c r="O70" s="19">
        <f t="shared" si="25"/>
        <v>2.9743357029038027</v>
      </c>
      <c r="P70" s="20">
        <v>9.9400000000000002E-2</v>
      </c>
      <c r="Q70" s="21">
        <f t="shared" ref="Q70" si="27">(EXP(P70)-1)*100</f>
        <v>10.450801441578728</v>
      </c>
      <c r="R70" s="87">
        <f>(EXP(0) - 1) * 100</f>
        <v>0</v>
      </c>
      <c r="S70" s="87">
        <f>(EXP(0.199) - 1) * 100</f>
        <v>22.018196589987248</v>
      </c>
      <c r="T70" s="103">
        <v>4.9799999999999997E-2</v>
      </c>
      <c r="U70" s="101">
        <v>169249</v>
      </c>
      <c r="V70" s="102">
        <v>301</v>
      </c>
      <c r="W70" s="19">
        <f t="shared" si="22"/>
        <v>177.8444776630881</v>
      </c>
      <c r="X70" s="19">
        <f>LN(W70)</f>
        <v>5.1809094473815351</v>
      </c>
      <c r="Y70" s="20">
        <v>0.10970000000000001</v>
      </c>
      <c r="Z70" s="21">
        <f t="shared" ref="Z70" si="28">(EXP(Y70)-1)*100</f>
        <v>11.594323726522404</v>
      </c>
      <c r="AA70" s="87">
        <f>(EXP(0.097) - 1) * 100</f>
        <v>10.186037362101064</v>
      </c>
      <c r="AB70" s="87">
        <f>(EXP(0.122) - 1) * 100</f>
        <v>12.975410178031876</v>
      </c>
      <c r="AC70" s="104" t="s">
        <v>112</v>
      </c>
      <c r="AD70" s="15" t="s">
        <v>116</v>
      </c>
      <c r="AE70" s="15">
        <v>3.5</v>
      </c>
      <c r="AF70" s="15"/>
      <c r="AG70" s="15"/>
      <c r="AH70" s="15" t="s">
        <v>116</v>
      </c>
      <c r="AI70" s="15">
        <v>3.5</v>
      </c>
      <c r="AJ70" s="15"/>
      <c r="AK70" s="15"/>
      <c r="AL70" s="15" t="s">
        <v>116</v>
      </c>
      <c r="AM70" s="15">
        <v>3.5</v>
      </c>
      <c r="AN70" s="15"/>
      <c r="AO70" s="15"/>
      <c r="AP70" s="15" t="s">
        <v>116</v>
      </c>
      <c r="AQ70" s="15">
        <v>3.5</v>
      </c>
      <c r="AR70" s="15"/>
      <c r="AS70" s="15"/>
      <c r="AT70" s="15" t="s">
        <v>116</v>
      </c>
      <c r="AU70" s="15">
        <v>3.5</v>
      </c>
      <c r="AV70" s="15"/>
      <c r="AW70" s="15"/>
      <c r="AX70" s="15" t="s">
        <v>116</v>
      </c>
      <c r="AY70" s="15">
        <v>3.5</v>
      </c>
      <c r="AZ70" s="15"/>
      <c r="BA70" s="15"/>
      <c r="BB70" s="15" t="s">
        <v>116</v>
      </c>
      <c r="BC70" s="15">
        <v>3.5</v>
      </c>
      <c r="BD70" s="15"/>
      <c r="BE70" s="15"/>
      <c r="BF70" s="15" t="s">
        <v>116</v>
      </c>
      <c r="BG70" s="15">
        <v>3.5</v>
      </c>
      <c r="BH70" s="15"/>
      <c r="BI70" s="15"/>
      <c r="BJ70" s="15" t="s">
        <v>116</v>
      </c>
      <c r="BK70" s="15">
        <v>3.5</v>
      </c>
      <c r="BL70" s="15"/>
      <c r="BM70" s="15"/>
      <c r="BN70" s="15" t="s">
        <v>116</v>
      </c>
      <c r="BO70" s="15">
        <v>3.5</v>
      </c>
      <c r="BP70" s="15"/>
      <c r="BQ70" s="15"/>
      <c r="BR70" s="15" t="s">
        <v>116</v>
      </c>
      <c r="BS70" s="15">
        <v>3.5</v>
      </c>
      <c r="BT70" s="15"/>
      <c r="BU70" s="15"/>
      <c r="BV70" s="15" t="s">
        <v>116</v>
      </c>
      <c r="BW70" s="15">
        <v>3.5</v>
      </c>
      <c r="BX70" s="15"/>
      <c r="BY70" s="15"/>
      <c r="BZ70" s="15" t="s">
        <v>116</v>
      </c>
      <c r="CA70" s="15">
        <v>3.5</v>
      </c>
      <c r="CB70" s="15"/>
      <c r="CC70" s="15"/>
      <c r="CD70" s="15" t="s">
        <v>116</v>
      </c>
      <c r="CE70" s="15">
        <v>3.5</v>
      </c>
      <c r="CF70" s="15"/>
      <c r="CG70" s="15"/>
      <c r="CH70" s="15" t="s">
        <v>116</v>
      </c>
      <c r="CI70" s="15">
        <v>3.5</v>
      </c>
      <c r="CJ70" s="15"/>
      <c r="CK70" s="15"/>
      <c r="CL70" s="15" t="s">
        <v>116</v>
      </c>
      <c r="CM70" s="15">
        <v>3.5</v>
      </c>
      <c r="CN70" s="15"/>
      <c r="CO70" s="15"/>
      <c r="CP70" s="15" t="s">
        <v>116</v>
      </c>
      <c r="CQ70" s="15">
        <v>3.5</v>
      </c>
      <c r="CR70" s="15"/>
      <c r="CS70" s="15"/>
      <c r="CT70" s="15" t="s">
        <v>116</v>
      </c>
      <c r="CU70" s="15">
        <v>3.5</v>
      </c>
      <c r="CV70" s="15"/>
      <c r="CW70" s="15"/>
      <c r="CX70" s="15" t="s">
        <v>116</v>
      </c>
      <c r="CY70" s="15">
        <v>3.5</v>
      </c>
      <c r="CZ70" s="15"/>
      <c r="DA70" s="15"/>
      <c r="DB70" s="15" t="s">
        <v>116</v>
      </c>
      <c r="DC70" s="15">
        <v>3.5</v>
      </c>
      <c r="DD70" s="15"/>
      <c r="DE70" s="15"/>
      <c r="DF70" s="15" t="s">
        <v>116</v>
      </c>
      <c r="DG70" s="15">
        <v>3.5</v>
      </c>
      <c r="DH70" s="15"/>
      <c r="DI70" s="15"/>
      <c r="DJ70" s="15" t="s">
        <v>116</v>
      </c>
      <c r="DK70" s="15">
        <v>3.5</v>
      </c>
      <c r="DL70" s="15"/>
      <c r="DM70" s="15"/>
      <c r="DN70" s="15" t="s">
        <v>116</v>
      </c>
      <c r="DO70" s="15">
        <v>3.5</v>
      </c>
      <c r="DP70" s="15"/>
      <c r="DQ70" s="15"/>
      <c r="DR70" s="15" t="s">
        <v>116</v>
      </c>
      <c r="DS70" s="15">
        <v>3.5</v>
      </c>
      <c r="DT70" s="15"/>
      <c r="DU70" s="15"/>
      <c r="DV70" s="15" t="s">
        <v>116</v>
      </c>
      <c r="DW70" s="15">
        <v>3.5</v>
      </c>
      <c r="DX70" s="15"/>
      <c r="DY70" s="15"/>
      <c r="DZ70" s="15" t="s">
        <v>116</v>
      </c>
      <c r="EA70" s="15">
        <v>3.5</v>
      </c>
      <c r="EB70" s="15"/>
      <c r="EC70" s="15"/>
      <c r="ED70" s="15" t="s">
        <v>116</v>
      </c>
      <c r="EE70" s="15">
        <v>3.5</v>
      </c>
      <c r="EF70" s="15"/>
      <c r="EG70" s="15"/>
    </row>
    <row r="71" spans="1:137" ht="15.6" thickTop="1" thickBot="1" x14ac:dyDescent="0.35">
      <c r="A71" s="105"/>
      <c r="B71" s="101">
        <v>2017</v>
      </c>
      <c r="C71" s="101">
        <v>524087</v>
      </c>
      <c r="D71" s="102">
        <v>11</v>
      </c>
      <c r="E71" s="19">
        <f t="shared" si="20"/>
        <v>2.0988881616983441</v>
      </c>
      <c r="F71" s="19">
        <f t="shared" si="21"/>
        <v>0.74140775771261247</v>
      </c>
      <c r="G71" s="25"/>
      <c r="H71" s="21"/>
      <c r="I71" s="92"/>
      <c r="J71" s="92"/>
      <c r="K71" s="106"/>
      <c r="L71" s="101">
        <v>311245</v>
      </c>
      <c r="M71" s="102">
        <v>70</v>
      </c>
      <c r="N71" s="19">
        <f t="shared" si="24"/>
        <v>22.490321129656699</v>
      </c>
      <c r="O71" s="19">
        <f t="shared" si="25"/>
        <v>3.1130850446445928</v>
      </c>
      <c r="P71" s="25"/>
      <c r="Q71" s="21"/>
      <c r="R71" s="92"/>
      <c r="S71" s="92"/>
      <c r="T71" s="106"/>
      <c r="U71" s="101">
        <v>175239</v>
      </c>
      <c r="V71" s="102">
        <v>362</v>
      </c>
      <c r="W71" s="19">
        <f t="shared" si="22"/>
        <v>206.57502040070989</v>
      </c>
      <c r="X71" s="19">
        <f t="shared" si="23"/>
        <v>5.3306636413441586</v>
      </c>
      <c r="Y71" s="25"/>
      <c r="Z71" s="21"/>
      <c r="AA71" s="92"/>
      <c r="AB71" s="92"/>
      <c r="AC71" s="107"/>
      <c r="AD71" s="15" t="s">
        <v>118</v>
      </c>
      <c r="AE71" s="15">
        <v>1.095</v>
      </c>
      <c r="AF71" s="15"/>
      <c r="AG71" s="15"/>
      <c r="AH71" s="15" t="s">
        <v>118</v>
      </c>
      <c r="AI71" s="15">
        <v>3.4083000000000001</v>
      </c>
      <c r="AJ71" s="15"/>
      <c r="AK71" s="15"/>
      <c r="AL71" s="15" t="s">
        <v>118</v>
      </c>
      <c r="AM71" s="15">
        <v>5.585</v>
      </c>
      <c r="AN71" s="15"/>
      <c r="AO71" s="15"/>
      <c r="AP71" s="15" t="s">
        <v>118</v>
      </c>
      <c r="AQ71" s="15">
        <v>0.77329999999999999</v>
      </c>
      <c r="AR71" s="15"/>
      <c r="AS71" s="15"/>
      <c r="AT71" s="15" t="s">
        <v>118</v>
      </c>
      <c r="AU71" s="15">
        <v>3.27</v>
      </c>
      <c r="AV71" s="15"/>
      <c r="AW71" s="15"/>
      <c r="AX71" s="15" t="s">
        <v>118</v>
      </c>
      <c r="AY71" s="15">
        <v>5.4733000000000001</v>
      </c>
      <c r="AZ71" s="15"/>
      <c r="BA71" s="15"/>
      <c r="BB71" s="15" t="s">
        <v>118</v>
      </c>
      <c r="BC71" s="15">
        <v>1.3833</v>
      </c>
      <c r="BD71" s="15"/>
      <c r="BE71" s="15"/>
      <c r="BF71" s="15" t="s">
        <v>118</v>
      </c>
      <c r="BG71" s="15">
        <v>3.82</v>
      </c>
      <c r="BH71" s="15"/>
      <c r="BI71" s="15"/>
      <c r="BJ71" s="15" t="s">
        <v>118</v>
      </c>
      <c r="BK71" s="15">
        <v>6.0149999999999997</v>
      </c>
      <c r="BL71" s="15"/>
      <c r="BM71" s="15"/>
      <c r="BN71" s="15" t="s">
        <v>118</v>
      </c>
      <c r="BO71" s="15">
        <v>0.80669999999999997</v>
      </c>
      <c r="BP71" s="15"/>
      <c r="BQ71" s="15"/>
      <c r="BR71" s="15" t="s">
        <v>118</v>
      </c>
      <c r="BS71" s="15">
        <v>2.9649999999999999</v>
      </c>
      <c r="BT71" s="15"/>
      <c r="BU71" s="15"/>
      <c r="BV71" s="15" t="s">
        <v>118</v>
      </c>
      <c r="BW71" s="15">
        <v>5.1032999999999999</v>
      </c>
      <c r="BX71" s="15"/>
      <c r="BY71" s="15"/>
      <c r="BZ71" s="15" t="s">
        <v>118</v>
      </c>
      <c r="CA71" s="15">
        <v>1.34</v>
      </c>
      <c r="CB71" s="15"/>
      <c r="CC71" s="15"/>
      <c r="CD71" s="15" t="s">
        <v>118</v>
      </c>
      <c r="CE71" s="15">
        <v>3.71</v>
      </c>
      <c r="CF71" s="15"/>
      <c r="CG71" s="15"/>
      <c r="CH71" s="15" t="s">
        <v>118</v>
      </c>
      <c r="CI71" s="15">
        <v>5.8333000000000004</v>
      </c>
      <c r="CJ71" s="15"/>
      <c r="CK71" s="15"/>
      <c r="CL71" s="15" t="s">
        <v>118</v>
      </c>
      <c r="CM71" s="15">
        <v>1.59</v>
      </c>
      <c r="CN71" s="15"/>
      <c r="CO71" s="15"/>
      <c r="CP71" s="15" t="s">
        <v>118</v>
      </c>
      <c r="CQ71" s="15">
        <v>3.8267000000000002</v>
      </c>
      <c r="CR71" s="15"/>
      <c r="CS71" s="15"/>
      <c r="CT71" s="15" t="s">
        <v>118</v>
      </c>
      <c r="CU71" s="15">
        <v>5.9116999999999997</v>
      </c>
      <c r="CV71" s="15"/>
      <c r="CW71" s="15"/>
      <c r="CX71" s="15" t="s">
        <v>118</v>
      </c>
      <c r="CY71" s="15">
        <v>0.77170000000000005</v>
      </c>
      <c r="CZ71" s="15"/>
      <c r="DA71" s="15"/>
      <c r="DB71" s="15" t="s">
        <v>118</v>
      </c>
      <c r="DC71" s="15">
        <v>3.39</v>
      </c>
      <c r="DD71" s="15"/>
      <c r="DE71" s="15"/>
      <c r="DF71" s="15" t="s">
        <v>118</v>
      </c>
      <c r="DG71" s="15">
        <v>5.4233000000000002</v>
      </c>
      <c r="DH71" s="15"/>
      <c r="DI71" s="15"/>
      <c r="DJ71" s="15" t="s">
        <v>118</v>
      </c>
      <c r="DK71" s="15">
        <v>1.4</v>
      </c>
      <c r="DL71" s="15"/>
      <c r="DM71" s="15"/>
      <c r="DN71" s="15" t="s">
        <v>118</v>
      </c>
      <c r="DO71" s="15">
        <v>3.7949999999999999</v>
      </c>
      <c r="DP71" s="15"/>
      <c r="DQ71" s="15"/>
      <c r="DR71" s="15" t="s">
        <v>118</v>
      </c>
      <c r="DS71" s="15">
        <v>6.0149999999999997</v>
      </c>
      <c r="DT71" s="15"/>
      <c r="DU71" s="15"/>
      <c r="DV71" s="15" t="s">
        <v>118</v>
      </c>
      <c r="DW71" s="15">
        <v>1.3933</v>
      </c>
      <c r="DX71" s="15"/>
      <c r="DY71" s="15"/>
      <c r="DZ71" s="15" t="s">
        <v>118</v>
      </c>
      <c r="EA71" s="15">
        <v>3.5432999999999999</v>
      </c>
      <c r="EB71" s="15"/>
      <c r="EC71" s="15"/>
      <c r="ED71" s="15" t="s">
        <v>118</v>
      </c>
      <c r="EE71" s="15">
        <v>5.8883000000000001</v>
      </c>
      <c r="EF71" s="15"/>
      <c r="EG71" s="15"/>
    </row>
    <row r="72" spans="1:137" ht="15.6" thickTop="1" thickBot="1" x14ac:dyDescent="0.35">
      <c r="A72" s="105"/>
      <c r="B72" s="101">
        <v>2018</v>
      </c>
      <c r="C72" s="101">
        <v>542890</v>
      </c>
      <c r="D72" s="102">
        <v>10</v>
      </c>
      <c r="E72" s="19">
        <f t="shared" si="20"/>
        <v>1.8419937740610437</v>
      </c>
      <c r="F72" s="19">
        <f t="shared" si="21"/>
        <v>0.6108485578388273</v>
      </c>
      <c r="G72" s="25"/>
      <c r="H72" s="21"/>
      <c r="I72" s="92"/>
      <c r="J72" s="92"/>
      <c r="K72" s="106"/>
      <c r="L72" s="101">
        <v>321643</v>
      </c>
      <c r="M72" s="102">
        <v>78</v>
      </c>
      <c r="N72" s="19">
        <f t="shared" si="24"/>
        <v>24.25048889607422</v>
      </c>
      <c r="O72" s="19">
        <f t="shared" si="25"/>
        <v>3.1884367778431231</v>
      </c>
      <c r="P72" s="25"/>
      <c r="Q72" s="21"/>
      <c r="R72" s="92"/>
      <c r="S72" s="92"/>
      <c r="T72" s="106"/>
      <c r="U72" s="101">
        <v>181598</v>
      </c>
      <c r="V72" s="102">
        <v>406</v>
      </c>
      <c r="W72" s="19">
        <f t="shared" si="22"/>
        <v>223.57074417119131</v>
      </c>
      <c r="X72" s="19">
        <f t="shared" si="23"/>
        <v>5.4097278926991361</v>
      </c>
      <c r="Y72" s="25"/>
      <c r="Z72" s="21"/>
      <c r="AA72" s="92"/>
      <c r="AB72" s="92"/>
      <c r="AC72" s="107"/>
      <c r="AD72" s="15" t="s">
        <v>125</v>
      </c>
      <c r="AE72" s="15">
        <v>0.42670000000000002</v>
      </c>
      <c r="AF72" s="15"/>
      <c r="AG72" s="15"/>
      <c r="AH72" s="15" t="s">
        <v>125</v>
      </c>
      <c r="AI72" s="15">
        <v>0.39410000000000001</v>
      </c>
      <c r="AJ72" s="15"/>
      <c r="AK72" s="15"/>
      <c r="AL72" s="15" t="s">
        <v>125</v>
      </c>
      <c r="AM72" s="15">
        <v>0.82830000000000004</v>
      </c>
      <c r="AN72" s="15"/>
      <c r="AO72" s="15"/>
      <c r="AP72" s="15" t="s">
        <v>125</v>
      </c>
      <c r="AQ72" s="15">
        <v>4.9000000000000002E-2</v>
      </c>
      <c r="AR72" s="15"/>
      <c r="AS72" s="15"/>
      <c r="AT72" s="15" t="s">
        <v>125</v>
      </c>
      <c r="AU72" s="15">
        <v>0.65880000000000005</v>
      </c>
      <c r="AV72" s="15"/>
      <c r="AW72" s="15"/>
      <c r="AX72" s="15" t="s">
        <v>125</v>
      </c>
      <c r="AY72" s="15">
        <v>0.99299999999999999</v>
      </c>
      <c r="AZ72" s="15"/>
      <c r="BA72" s="15"/>
      <c r="BB72" s="15" t="s">
        <v>125</v>
      </c>
      <c r="BC72" s="15">
        <v>0.2084</v>
      </c>
      <c r="BD72" s="15"/>
      <c r="BE72" s="15"/>
      <c r="BF72" s="15" t="s">
        <v>125</v>
      </c>
      <c r="BG72" s="15">
        <v>0.62490000000000001</v>
      </c>
      <c r="BH72" s="15"/>
      <c r="BI72" s="15"/>
      <c r="BJ72" s="15" t="s">
        <v>125</v>
      </c>
      <c r="BK72" s="15">
        <v>0.97009999999999996</v>
      </c>
      <c r="BL72" s="15"/>
      <c r="BM72" s="15"/>
      <c r="BN72" s="15" t="s">
        <v>125</v>
      </c>
      <c r="BO72" s="15">
        <v>8.9499999999999996E-2</v>
      </c>
      <c r="BP72" s="15"/>
      <c r="BQ72" s="15"/>
      <c r="BR72" s="15" t="s">
        <v>125</v>
      </c>
      <c r="BS72" s="15">
        <v>0.3412</v>
      </c>
      <c r="BT72" s="15"/>
      <c r="BU72" s="15"/>
      <c r="BV72" s="15" t="s">
        <v>125</v>
      </c>
      <c r="BW72" s="15">
        <v>0.68269999999999997</v>
      </c>
      <c r="BX72" s="15"/>
      <c r="BY72" s="15"/>
      <c r="BZ72" s="15" t="s">
        <v>125</v>
      </c>
      <c r="CA72" s="15">
        <v>0.41670000000000001</v>
      </c>
      <c r="CB72" s="15"/>
      <c r="CC72" s="15"/>
      <c r="CD72" s="15" t="s">
        <v>125</v>
      </c>
      <c r="CE72" s="15">
        <v>0.21060000000000001</v>
      </c>
      <c r="CF72" s="15"/>
      <c r="CG72" s="15"/>
      <c r="CH72" s="15" t="s">
        <v>125</v>
      </c>
      <c r="CI72" s="15">
        <v>0.4224</v>
      </c>
      <c r="CJ72" s="15"/>
      <c r="CK72" s="15"/>
      <c r="CL72" s="15" t="s">
        <v>125</v>
      </c>
      <c r="CM72" s="15">
        <v>5.79E-2</v>
      </c>
      <c r="CN72" s="15"/>
      <c r="CO72" s="15"/>
      <c r="CP72" s="15" t="s">
        <v>125</v>
      </c>
      <c r="CQ72" s="15">
        <v>0.47339999999999999</v>
      </c>
      <c r="CR72" s="15"/>
      <c r="CS72" s="15"/>
      <c r="CT72" s="15" t="s">
        <v>125</v>
      </c>
      <c r="CU72" s="15">
        <v>0.85840000000000005</v>
      </c>
      <c r="CV72" s="15"/>
      <c r="CW72" s="15"/>
      <c r="CX72" s="15" t="s">
        <v>125</v>
      </c>
      <c r="CY72" s="15">
        <v>0.2964</v>
      </c>
      <c r="CZ72" s="15"/>
      <c r="DA72" s="15"/>
      <c r="DB72" s="15" t="s">
        <v>125</v>
      </c>
      <c r="DC72" s="15">
        <v>0.3669</v>
      </c>
      <c r="DD72" s="15"/>
      <c r="DE72" s="15"/>
      <c r="DF72" s="15" t="s">
        <v>125</v>
      </c>
      <c r="DG72" s="15">
        <v>0.46560000000000001</v>
      </c>
      <c r="DH72" s="15"/>
      <c r="DI72" s="15"/>
      <c r="DJ72" s="15" t="s">
        <v>125</v>
      </c>
      <c r="DK72" s="15">
        <v>2.0000000000000001E-4</v>
      </c>
      <c r="DL72" s="15"/>
      <c r="DM72" s="15"/>
      <c r="DN72" s="15" t="s">
        <v>125</v>
      </c>
      <c r="DO72" s="15">
        <v>0.2361</v>
      </c>
      <c r="DP72" s="15"/>
      <c r="DQ72" s="15"/>
      <c r="DR72" s="15" t="s">
        <v>125</v>
      </c>
      <c r="DS72" s="15">
        <v>3.2199999999999999E-2</v>
      </c>
      <c r="DT72" s="15"/>
      <c r="DU72" s="15"/>
      <c r="DV72" s="15" t="s">
        <v>125</v>
      </c>
      <c r="DW72" s="15">
        <v>0.38490000000000002</v>
      </c>
      <c r="DX72" s="15"/>
      <c r="DY72" s="15"/>
      <c r="DZ72" s="15" t="s">
        <v>125</v>
      </c>
      <c r="EA72" s="15">
        <v>2.81E-2</v>
      </c>
      <c r="EB72" s="15"/>
      <c r="EC72" s="15"/>
      <c r="ED72" s="15" t="s">
        <v>125</v>
      </c>
      <c r="EE72" s="15">
        <v>0.76160000000000005</v>
      </c>
      <c r="EF72" s="15"/>
      <c r="EG72" s="15"/>
    </row>
    <row r="73" spans="1:137" ht="15.6" thickTop="1" thickBot="1" x14ac:dyDescent="0.35">
      <c r="A73" s="105"/>
      <c r="B73" s="101">
        <v>2019</v>
      </c>
      <c r="C73" s="101">
        <v>562415</v>
      </c>
      <c r="D73" s="102">
        <v>10</v>
      </c>
      <c r="E73" s="19">
        <f t="shared" si="20"/>
        <v>1.7780464603540092</v>
      </c>
      <c r="F73" s="19">
        <f t="shared" si="21"/>
        <v>0.57551526743310732</v>
      </c>
      <c r="G73" s="25"/>
      <c r="H73" s="21"/>
      <c r="I73" s="92"/>
      <c r="J73" s="92"/>
      <c r="K73" s="106"/>
      <c r="L73" s="101">
        <v>332714</v>
      </c>
      <c r="M73" s="102">
        <v>119</v>
      </c>
      <c r="N73" s="19">
        <f t="shared" si="24"/>
        <v>35.766454071665152</v>
      </c>
      <c r="O73" s="19">
        <f t="shared" si="25"/>
        <v>3.5770104170086174</v>
      </c>
      <c r="P73" s="25"/>
      <c r="Q73" s="21"/>
      <c r="R73" s="92"/>
      <c r="S73" s="92"/>
      <c r="T73" s="106"/>
      <c r="U73" s="101">
        <v>187953</v>
      </c>
      <c r="V73" s="102">
        <v>482</v>
      </c>
      <c r="W73" s="19">
        <f t="shared" si="22"/>
        <v>256.44709049602824</v>
      </c>
      <c r="X73" s="19">
        <f t="shared" si="23"/>
        <v>5.5469223684639513</v>
      </c>
      <c r="Y73" s="25"/>
      <c r="Z73" s="21"/>
      <c r="AA73" s="92"/>
      <c r="AB73" s="92"/>
      <c r="AC73" s="107"/>
      <c r="AD73" s="15" t="s">
        <v>132</v>
      </c>
      <c r="AE73" s="15">
        <v>0.28339999999999999</v>
      </c>
      <c r="AF73" s="15"/>
      <c r="AG73" s="15"/>
      <c r="AH73" s="15" t="s">
        <v>132</v>
      </c>
      <c r="AI73" s="15">
        <v>0.24260000000000001</v>
      </c>
      <c r="AJ73" s="15"/>
      <c r="AK73" s="15"/>
      <c r="AL73" s="15" t="s">
        <v>132</v>
      </c>
      <c r="AM73" s="15">
        <v>0.78539999999999999</v>
      </c>
      <c r="AN73" s="15"/>
      <c r="AO73" s="15"/>
      <c r="AP73" s="15" t="s">
        <v>132</v>
      </c>
      <c r="AQ73" s="15">
        <v>-0.1888</v>
      </c>
      <c r="AR73" s="15"/>
      <c r="AS73" s="15"/>
      <c r="AT73" s="15" t="s">
        <v>132</v>
      </c>
      <c r="AU73" s="15">
        <v>0.57350000000000001</v>
      </c>
      <c r="AV73" s="15"/>
      <c r="AW73" s="15"/>
      <c r="AX73" s="15" t="s">
        <v>132</v>
      </c>
      <c r="AY73" s="15">
        <v>0.99129999999999996</v>
      </c>
      <c r="AZ73" s="15"/>
      <c r="BA73" s="15"/>
      <c r="BB73" s="15" t="s">
        <v>132</v>
      </c>
      <c r="BC73" s="15">
        <v>1.0500000000000001E-2</v>
      </c>
      <c r="BD73" s="15"/>
      <c r="BE73" s="15"/>
      <c r="BF73" s="15" t="s">
        <v>132</v>
      </c>
      <c r="BG73" s="15">
        <v>0.53110000000000002</v>
      </c>
      <c r="BH73" s="15"/>
      <c r="BI73" s="15"/>
      <c r="BJ73" s="15" t="s">
        <v>132</v>
      </c>
      <c r="BK73" s="15">
        <v>0.96260000000000001</v>
      </c>
      <c r="BL73" s="15"/>
      <c r="BM73" s="15"/>
      <c r="BN73" s="15" t="s">
        <v>132</v>
      </c>
      <c r="BO73" s="15">
        <v>-0.13819999999999999</v>
      </c>
      <c r="BP73" s="15"/>
      <c r="BQ73" s="15"/>
      <c r="BR73" s="15" t="s">
        <v>132</v>
      </c>
      <c r="BS73" s="15">
        <v>0.17649999999999999</v>
      </c>
      <c r="BT73" s="15"/>
      <c r="BU73" s="15"/>
      <c r="BV73" s="15" t="s">
        <v>132</v>
      </c>
      <c r="BW73" s="15">
        <v>0.60340000000000005</v>
      </c>
      <c r="BX73" s="15"/>
      <c r="BY73" s="15"/>
      <c r="BZ73" s="15" t="s">
        <v>132</v>
      </c>
      <c r="CA73" s="15">
        <v>0.27089999999999997</v>
      </c>
      <c r="CB73" s="15"/>
      <c r="CC73" s="15"/>
      <c r="CD73" s="15" t="s">
        <v>132</v>
      </c>
      <c r="CE73" s="15">
        <v>1.3299999999999999E-2</v>
      </c>
      <c r="CF73" s="15"/>
      <c r="CG73" s="15"/>
      <c r="CH73" s="15" t="s">
        <v>132</v>
      </c>
      <c r="CI73" s="15">
        <v>0.27800000000000002</v>
      </c>
      <c r="CJ73" s="15"/>
      <c r="CK73" s="15"/>
      <c r="CL73" s="15" t="s">
        <v>132</v>
      </c>
      <c r="CM73" s="15">
        <v>-0.1777</v>
      </c>
      <c r="CN73" s="15"/>
      <c r="CO73" s="15"/>
      <c r="CP73" s="15" t="s">
        <v>132</v>
      </c>
      <c r="CQ73" s="15">
        <v>0.34179999999999999</v>
      </c>
      <c r="CR73" s="15"/>
      <c r="CS73" s="15"/>
      <c r="CT73" s="15" t="s">
        <v>132</v>
      </c>
      <c r="CU73" s="15">
        <v>0.82289999999999996</v>
      </c>
      <c r="CV73" s="15"/>
      <c r="CW73" s="15"/>
      <c r="CX73" s="15" t="s">
        <v>132</v>
      </c>
      <c r="CY73" s="15">
        <v>0.1205</v>
      </c>
      <c r="CZ73" s="15"/>
      <c r="DA73" s="15"/>
      <c r="DB73" s="15" t="s">
        <v>132</v>
      </c>
      <c r="DC73" s="15">
        <v>0.20860000000000001</v>
      </c>
      <c r="DD73" s="15"/>
      <c r="DE73" s="15"/>
      <c r="DF73" s="15" t="s">
        <v>132</v>
      </c>
      <c r="DG73" s="15">
        <v>0.33200000000000002</v>
      </c>
      <c r="DH73" s="15"/>
      <c r="DI73" s="15"/>
      <c r="DJ73" s="15" t="s">
        <v>132</v>
      </c>
      <c r="DK73" s="15">
        <v>-0.24979999999999999</v>
      </c>
      <c r="DL73" s="15"/>
      <c r="DM73" s="15"/>
      <c r="DN73" s="15" t="s">
        <v>132</v>
      </c>
      <c r="DO73" s="15">
        <v>4.5100000000000001E-2</v>
      </c>
      <c r="DP73" s="15"/>
      <c r="DQ73" s="15"/>
      <c r="DR73" s="15" t="s">
        <v>132</v>
      </c>
      <c r="DS73" s="15">
        <v>-0.20979999999999999</v>
      </c>
      <c r="DT73" s="15"/>
      <c r="DU73" s="15"/>
      <c r="DV73" s="15" t="s">
        <v>132</v>
      </c>
      <c r="DW73" s="15">
        <v>0.2311</v>
      </c>
      <c r="DX73" s="15"/>
      <c r="DY73" s="15"/>
      <c r="DZ73" s="15" t="s">
        <v>132</v>
      </c>
      <c r="EA73" s="15">
        <v>-0.21490000000000001</v>
      </c>
      <c r="EB73" s="15"/>
      <c r="EC73" s="15"/>
      <c r="ED73" s="15" t="s">
        <v>132</v>
      </c>
      <c r="EE73" s="15">
        <v>0.70209999999999995</v>
      </c>
      <c r="EF73" s="15"/>
      <c r="EG73" s="15"/>
    </row>
    <row r="74" spans="1:137" ht="15.6" thickTop="1" thickBot="1" x14ac:dyDescent="0.35">
      <c r="A74" s="105"/>
      <c r="B74" s="101">
        <v>2020</v>
      </c>
      <c r="C74" s="101">
        <v>582327</v>
      </c>
      <c r="D74" s="102">
        <v>11</v>
      </c>
      <c r="E74" s="19">
        <f t="shared" si="20"/>
        <v>1.8889730340513149</v>
      </c>
      <c r="F74" s="19">
        <f t="shared" si="21"/>
        <v>0.6360333131667204</v>
      </c>
      <c r="G74" s="25"/>
      <c r="H74" s="21"/>
      <c r="I74" s="92"/>
      <c r="J74" s="92"/>
      <c r="K74" s="106"/>
      <c r="L74" s="101">
        <v>344138</v>
      </c>
      <c r="M74" s="102">
        <v>92</v>
      </c>
      <c r="N74" s="19">
        <f t="shared" si="24"/>
        <v>26.733461576460606</v>
      </c>
      <c r="O74" s="19">
        <f t="shared" si="25"/>
        <v>3.2859160233173146</v>
      </c>
      <c r="P74" s="25"/>
      <c r="Q74" s="21"/>
      <c r="R74" s="92"/>
      <c r="S74" s="92"/>
      <c r="T74" s="106"/>
      <c r="U74" s="101">
        <v>193548</v>
      </c>
      <c r="V74" s="102">
        <v>537</v>
      </c>
      <c r="W74" s="19">
        <f t="shared" si="22"/>
        <v>277.4505549011098</v>
      </c>
      <c r="X74" s="19">
        <f t="shared" si="23"/>
        <v>5.6256427367739104</v>
      </c>
      <c r="Y74" s="25"/>
      <c r="Z74" s="21"/>
      <c r="AA74" s="92"/>
      <c r="AB74" s="92"/>
      <c r="AC74" s="107"/>
      <c r="AD74" s="15" t="s">
        <v>139</v>
      </c>
      <c r="AE74" s="15">
        <v>0.6532</v>
      </c>
      <c r="AF74" s="15"/>
      <c r="AG74" s="15"/>
      <c r="AH74" s="15" t="s">
        <v>139</v>
      </c>
      <c r="AI74" s="15">
        <v>0.62770000000000004</v>
      </c>
      <c r="AJ74" s="15"/>
      <c r="AK74" s="15"/>
      <c r="AL74" s="15" t="s">
        <v>139</v>
      </c>
      <c r="AM74" s="15">
        <v>0.91010000000000002</v>
      </c>
      <c r="AN74" s="15"/>
      <c r="AO74" s="15"/>
      <c r="AP74" s="15" t="s">
        <v>139</v>
      </c>
      <c r="AQ74" s="15">
        <v>0.2213</v>
      </c>
      <c r="AR74" s="15"/>
      <c r="AS74" s="15"/>
      <c r="AT74" s="15" t="s">
        <v>139</v>
      </c>
      <c r="AU74" s="15">
        <v>0.81169999999999998</v>
      </c>
      <c r="AV74" s="15"/>
      <c r="AW74" s="15"/>
      <c r="AX74" s="15" t="s">
        <v>139</v>
      </c>
      <c r="AY74" s="15">
        <v>0.99650000000000005</v>
      </c>
      <c r="AZ74" s="15"/>
      <c r="BA74" s="15"/>
      <c r="BB74" s="15" t="s">
        <v>139</v>
      </c>
      <c r="BC74" s="15">
        <v>0.45650000000000002</v>
      </c>
      <c r="BD74" s="15"/>
      <c r="BE74" s="15"/>
      <c r="BF74" s="15" t="s">
        <v>139</v>
      </c>
      <c r="BG74" s="15">
        <v>0.79049999999999998</v>
      </c>
      <c r="BH74" s="15"/>
      <c r="BI74" s="15"/>
      <c r="BJ74" s="15" t="s">
        <v>139</v>
      </c>
      <c r="BK74" s="15">
        <v>0.9849</v>
      </c>
      <c r="BL74" s="15"/>
      <c r="BM74" s="15"/>
      <c r="BN74" s="15" t="s">
        <v>139</v>
      </c>
      <c r="BO74" s="15">
        <v>0.29909999999999998</v>
      </c>
      <c r="BP74" s="15"/>
      <c r="BQ74" s="15"/>
      <c r="BR74" s="15" t="s">
        <v>139</v>
      </c>
      <c r="BS74" s="15">
        <v>0.58420000000000005</v>
      </c>
      <c r="BT74" s="15"/>
      <c r="BU74" s="15"/>
      <c r="BV74" s="15" t="s">
        <v>139</v>
      </c>
      <c r="BW74" s="15">
        <v>0.82630000000000003</v>
      </c>
      <c r="BX74" s="15"/>
      <c r="BY74" s="15"/>
      <c r="BZ74" s="15" t="s">
        <v>139</v>
      </c>
      <c r="CA74" s="15">
        <v>0.64549999999999996</v>
      </c>
      <c r="CB74" s="15"/>
      <c r="CC74" s="15"/>
      <c r="CD74" s="15" t="s">
        <v>139</v>
      </c>
      <c r="CE74" s="15">
        <v>0.45889999999999997</v>
      </c>
      <c r="CF74" s="15"/>
      <c r="CG74" s="15"/>
      <c r="CH74" s="15" t="s">
        <v>139</v>
      </c>
      <c r="CI74" s="15">
        <v>0.64990000000000003</v>
      </c>
      <c r="CJ74" s="15"/>
      <c r="CK74" s="15"/>
      <c r="CL74" s="15" t="s">
        <v>139</v>
      </c>
      <c r="CM74" s="15">
        <v>0.24049999999999999</v>
      </c>
      <c r="CN74" s="15"/>
      <c r="CO74" s="15"/>
      <c r="CP74" s="15" t="s">
        <v>139</v>
      </c>
      <c r="CQ74" s="15">
        <v>0.68799999999999994</v>
      </c>
      <c r="CR74" s="15"/>
      <c r="CS74" s="15"/>
      <c r="CT74" s="15" t="s">
        <v>139</v>
      </c>
      <c r="CU74" s="15">
        <v>0.92649999999999999</v>
      </c>
      <c r="CV74" s="15"/>
      <c r="CW74" s="15"/>
      <c r="CX74" s="15" t="s">
        <v>139</v>
      </c>
      <c r="CY74" s="15">
        <v>0.5444</v>
      </c>
      <c r="CZ74" s="15"/>
      <c r="DA74" s="15"/>
      <c r="DB74" s="15" t="s">
        <v>139</v>
      </c>
      <c r="DC74" s="15">
        <v>0.60570000000000002</v>
      </c>
      <c r="DD74" s="15"/>
      <c r="DE74" s="15"/>
      <c r="DF74" s="15" t="s">
        <v>139</v>
      </c>
      <c r="DG74" s="15">
        <v>0.68230000000000002</v>
      </c>
      <c r="DH74" s="15"/>
      <c r="DI74" s="15"/>
      <c r="DJ74" s="15" t="s">
        <v>139</v>
      </c>
      <c r="DK74" s="15">
        <v>1.2800000000000001E-2</v>
      </c>
      <c r="DL74" s="15"/>
      <c r="DM74" s="15"/>
      <c r="DN74" s="15" t="s">
        <v>139</v>
      </c>
      <c r="DO74" s="15">
        <v>0.4859</v>
      </c>
      <c r="DP74" s="15"/>
      <c r="DQ74" s="15"/>
      <c r="DR74" s="15" t="s">
        <v>139</v>
      </c>
      <c r="DS74" s="15">
        <v>0.1794</v>
      </c>
      <c r="DT74" s="15"/>
      <c r="DU74" s="15"/>
      <c r="DV74" s="15" t="s">
        <v>139</v>
      </c>
      <c r="DW74" s="15">
        <v>0.62039999999999995</v>
      </c>
      <c r="DX74" s="15"/>
      <c r="DY74" s="15"/>
      <c r="DZ74" s="15" t="s">
        <v>139</v>
      </c>
      <c r="EA74" s="15">
        <v>0.1676</v>
      </c>
      <c r="EB74" s="15"/>
      <c r="EC74" s="15"/>
      <c r="ED74" s="15" t="s">
        <v>139</v>
      </c>
      <c r="EE74" s="15">
        <v>0.87270000000000003</v>
      </c>
      <c r="EF74" s="15"/>
      <c r="EG74" s="15"/>
    </row>
    <row r="75" spans="1:137" ht="15.6" thickTop="1" thickBot="1" x14ac:dyDescent="0.35">
      <c r="A75" s="108"/>
      <c r="B75" s="101">
        <v>2021</v>
      </c>
      <c r="C75" s="101">
        <v>602277</v>
      </c>
      <c r="D75" s="102">
        <v>16</v>
      </c>
      <c r="E75" s="19">
        <f t="shared" si="20"/>
        <v>2.6565849268691979</v>
      </c>
      <c r="F75" s="19">
        <f t="shared" si="21"/>
        <v>0.97704143585736225</v>
      </c>
      <c r="G75" s="34"/>
      <c r="H75" s="21"/>
      <c r="I75" s="97"/>
      <c r="J75" s="97"/>
      <c r="K75" s="109"/>
      <c r="L75" s="101">
        <v>355630</v>
      </c>
      <c r="M75" s="102">
        <v>115</v>
      </c>
      <c r="N75" s="19">
        <f t="shared" si="24"/>
        <v>32.336979444928716</v>
      </c>
      <c r="O75" s="19">
        <f t="shared" si="25"/>
        <v>3.4762114498156289</v>
      </c>
      <c r="P75" s="34"/>
      <c r="Q75" s="21"/>
      <c r="R75" s="97"/>
      <c r="S75" s="97"/>
      <c r="T75" s="109"/>
      <c r="U75" s="101">
        <v>197771</v>
      </c>
      <c r="V75" s="102">
        <v>614</v>
      </c>
      <c r="W75" s="19">
        <f t="shared" si="22"/>
        <v>310.46007756445584</v>
      </c>
      <c r="X75" s="19">
        <f t="shared" si="23"/>
        <v>5.7380553184354621</v>
      </c>
      <c r="Y75" s="34"/>
      <c r="Z75" s="21"/>
      <c r="AA75" s="97"/>
      <c r="AB75" s="97"/>
      <c r="AC75" s="110"/>
      <c r="AD75" s="15" t="s">
        <v>147</v>
      </c>
      <c r="AE75" s="15">
        <v>1.532</v>
      </c>
      <c r="AF75" s="15" t="s">
        <v>369</v>
      </c>
      <c r="AG75" s="15" t="s">
        <v>211</v>
      </c>
      <c r="AH75" s="15" t="s">
        <v>147</v>
      </c>
      <c r="AI75" s="15">
        <v>3.1692999999999998</v>
      </c>
      <c r="AJ75" s="15" t="s">
        <v>370</v>
      </c>
      <c r="AK75" s="15" t="s">
        <v>149</v>
      </c>
      <c r="AL75" s="15" t="s">
        <v>147</v>
      </c>
      <c r="AM75" s="15">
        <v>5.33</v>
      </c>
      <c r="AN75" s="15" t="s">
        <v>371</v>
      </c>
      <c r="AO75" s="15" t="s">
        <v>149</v>
      </c>
      <c r="AP75" s="15" t="s">
        <v>147</v>
      </c>
      <c r="AQ75" s="15">
        <v>0.86129999999999995</v>
      </c>
      <c r="AR75" s="15" t="s">
        <v>372</v>
      </c>
      <c r="AS75" s="15" t="s">
        <v>373</v>
      </c>
      <c r="AT75" s="15" t="s">
        <v>147</v>
      </c>
      <c r="AU75" s="15">
        <v>2.9220000000000002</v>
      </c>
      <c r="AV75" s="15" t="s">
        <v>374</v>
      </c>
      <c r="AW75" s="15" t="s">
        <v>149</v>
      </c>
      <c r="AX75" s="15" t="s">
        <v>147</v>
      </c>
      <c r="AY75" s="15">
        <v>5.0892999999999997</v>
      </c>
      <c r="AZ75" s="15" t="s">
        <v>375</v>
      </c>
      <c r="BA75" s="15" t="s">
        <v>149</v>
      </c>
      <c r="BB75" s="15" t="s">
        <v>147</v>
      </c>
      <c r="BC75" s="15">
        <v>1.5592999999999999</v>
      </c>
      <c r="BD75" s="15" t="s">
        <v>376</v>
      </c>
      <c r="BE75" s="15" t="s">
        <v>377</v>
      </c>
      <c r="BF75" s="15" t="s">
        <v>147</v>
      </c>
      <c r="BG75" s="15">
        <v>3.6320000000000001</v>
      </c>
      <c r="BH75" s="15" t="s">
        <v>378</v>
      </c>
      <c r="BI75" s="15" t="s">
        <v>149</v>
      </c>
      <c r="BJ75" s="15" t="s">
        <v>147</v>
      </c>
      <c r="BK75" s="15">
        <v>5.742</v>
      </c>
      <c r="BL75" s="15" t="s">
        <v>379</v>
      </c>
      <c r="BM75" s="15" t="s">
        <v>149</v>
      </c>
      <c r="BN75" s="15" t="s">
        <v>147</v>
      </c>
      <c r="BO75" s="15">
        <v>0.54469999999999996</v>
      </c>
      <c r="BP75" s="15" t="s">
        <v>380</v>
      </c>
      <c r="BQ75" s="15" t="s">
        <v>381</v>
      </c>
      <c r="BR75" s="15" t="s">
        <v>147</v>
      </c>
      <c r="BS75" s="15">
        <v>2.714</v>
      </c>
      <c r="BT75" s="15" t="s">
        <v>382</v>
      </c>
      <c r="BU75" s="15" t="s">
        <v>149</v>
      </c>
      <c r="BV75" s="15" t="s">
        <v>147</v>
      </c>
      <c r="BW75" s="15">
        <v>4.7533000000000003</v>
      </c>
      <c r="BX75" s="15" t="s">
        <v>383</v>
      </c>
      <c r="BY75" s="15" t="s">
        <v>149</v>
      </c>
      <c r="BZ75" s="15" t="s">
        <v>147</v>
      </c>
      <c r="CA75" s="15">
        <v>0.91200000000000003</v>
      </c>
      <c r="CB75" s="15" t="s">
        <v>384</v>
      </c>
      <c r="CC75" s="15" t="s">
        <v>385</v>
      </c>
      <c r="CD75" s="15" t="s">
        <v>147</v>
      </c>
      <c r="CE75" s="15">
        <v>3.56</v>
      </c>
      <c r="CF75" s="15" t="s">
        <v>386</v>
      </c>
      <c r="CG75" s="15" t="s">
        <v>149</v>
      </c>
      <c r="CH75" s="15" t="s">
        <v>147</v>
      </c>
      <c r="CI75" s="15">
        <v>5.6893000000000002</v>
      </c>
      <c r="CJ75" s="15" t="s">
        <v>387</v>
      </c>
      <c r="CK75" s="15" t="s">
        <v>149</v>
      </c>
      <c r="CL75" s="15" t="s">
        <v>147</v>
      </c>
      <c r="CM75" s="15">
        <v>1.518</v>
      </c>
      <c r="CN75" s="15" t="s">
        <v>388</v>
      </c>
      <c r="CO75" s="15" t="s">
        <v>80</v>
      </c>
      <c r="CP75" s="15" t="s">
        <v>147</v>
      </c>
      <c r="CQ75" s="15">
        <v>3.6246999999999998</v>
      </c>
      <c r="CR75" s="15" t="s">
        <v>389</v>
      </c>
      <c r="CS75" s="15" t="s">
        <v>149</v>
      </c>
      <c r="CT75" s="15" t="s">
        <v>147</v>
      </c>
      <c r="CU75" s="15">
        <v>5.6746999999999996</v>
      </c>
      <c r="CV75" s="15" t="s">
        <v>390</v>
      </c>
      <c r="CW75" s="15" t="s">
        <v>149</v>
      </c>
      <c r="CX75" s="15" t="s">
        <v>147</v>
      </c>
      <c r="CY75" s="15">
        <v>0.14069999999999999</v>
      </c>
      <c r="CZ75" s="15" t="s">
        <v>391</v>
      </c>
      <c r="DA75" s="15" t="s">
        <v>392</v>
      </c>
      <c r="DB75" s="15" t="s">
        <v>147</v>
      </c>
      <c r="DC75" s="15">
        <v>3.2440000000000002</v>
      </c>
      <c r="DD75" s="15" t="s">
        <v>393</v>
      </c>
      <c r="DE75" s="15" t="s">
        <v>149</v>
      </c>
      <c r="DF75" s="15" t="s">
        <v>147</v>
      </c>
      <c r="DG75" s="15">
        <v>5.2233000000000001</v>
      </c>
      <c r="DH75" s="15" t="s">
        <v>394</v>
      </c>
      <c r="DI75" s="15" t="s">
        <v>149</v>
      </c>
      <c r="DJ75" s="15" t="s">
        <v>147</v>
      </c>
      <c r="DK75" s="15">
        <v>1.4119999999999999</v>
      </c>
      <c r="DL75" s="15" t="s">
        <v>395</v>
      </c>
      <c r="DM75" s="15" t="s">
        <v>396</v>
      </c>
      <c r="DN75" s="15" t="s">
        <v>147</v>
      </c>
      <c r="DO75" s="15">
        <v>3.6840000000000002</v>
      </c>
      <c r="DP75" s="15" t="s">
        <v>397</v>
      </c>
      <c r="DQ75" s="15" t="s">
        <v>149</v>
      </c>
      <c r="DR75" s="15" t="s">
        <v>147</v>
      </c>
      <c r="DS75" s="15">
        <v>5.9880000000000004</v>
      </c>
      <c r="DT75" s="15" t="s">
        <v>398</v>
      </c>
      <c r="DU75" s="15" t="s">
        <v>149</v>
      </c>
      <c r="DV75" s="15" t="s">
        <v>147</v>
      </c>
      <c r="DW75" s="15">
        <v>0.64529999999999998</v>
      </c>
      <c r="DX75" s="15" t="s">
        <v>399</v>
      </c>
      <c r="DY75" s="15" t="s">
        <v>400</v>
      </c>
      <c r="DZ75" s="15" t="s">
        <v>147</v>
      </c>
      <c r="EA75" s="15">
        <v>3.4912999999999998</v>
      </c>
      <c r="EB75" s="15" t="s">
        <v>401</v>
      </c>
      <c r="EC75" s="15" t="s">
        <v>149</v>
      </c>
      <c r="ED75" s="15" t="s">
        <v>147</v>
      </c>
      <c r="EE75" s="15">
        <v>5.5892999999999997</v>
      </c>
      <c r="EF75" s="15" t="s">
        <v>402</v>
      </c>
      <c r="EG75" s="15" t="s">
        <v>149</v>
      </c>
    </row>
    <row r="76" spans="1:137" ht="15.6" thickTop="1" thickBot="1" x14ac:dyDescent="0.35">
      <c r="A76" s="84" t="s">
        <v>146</v>
      </c>
      <c r="B76" s="85">
        <v>2016</v>
      </c>
      <c r="C76" s="85">
        <v>308205</v>
      </c>
      <c r="D76" s="86">
        <v>16</v>
      </c>
      <c r="E76" s="19">
        <f t="shared" si="20"/>
        <v>5.1913499132071186</v>
      </c>
      <c r="F76" s="19">
        <f t="shared" si="21"/>
        <v>1.6469937622417847</v>
      </c>
      <c r="G76" s="20">
        <v>-5.0299999999999997E-2</v>
      </c>
      <c r="H76" s="21">
        <f t="shared" ref="H76" si="29">(EXP(G76)-1)*100</f>
        <v>-4.9055901525592365</v>
      </c>
      <c r="I76" s="87">
        <f>(EXP(-0.186) - 1) * 100</f>
        <v>-16.972640501806737</v>
      </c>
      <c r="J76" s="87">
        <f>(EXP(0.086) - 1) * 100</f>
        <v>8.9806328305128691</v>
      </c>
      <c r="K76" s="88">
        <v>0.36280000000000001</v>
      </c>
      <c r="L76" s="85">
        <v>189587</v>
      </c>
      <c r="M76" s="86">
        <v>80</v>
      </c>
      <c r="N76" s="19">
        <f t="shared" si="24"/>
        <v>42.196986080269212</v>
      </c>
      <c r="O76" s="19">
        <f t="shared" si="25"/>
        <v>3.74234879859261</v>
      </c>
      <c r="P76" s="20">
        <v>5.3699999999999998E-2</v>
      </c>
      <c r="Q76" s="21">
        <f t="shared" ref="Q76" si="30">(EXP(P76)-1)*100</f>
        <v>5.5168004266491266</v>
      </c>
      <c r="R76" s="87">
        <f>(EXP(-0.004) - 1) * 100</f>
        <v>-0.39920106560085156</v>
      </c>
      <c r="S76" s="87">
        <f>(EXP(0.111) - 1) * 100</f>
        <v>11.739490685445819</v>
      </c>
      <c r="T76" s="88">
        <v>6.1199999999999997E-2</v>
      </c>
      <c r="U76" s="85">
        <v>106787</v>
      </c>
      <c r="V76" s="86">
        <v>365</v>
      </c>
      <c r="W76" s="19">
        <f t="shared" si="22"/>
        <v>341.80190472623076</v>
      </c>
      <c r="X76" s="19">
        <f t="shared" si="23"/>
        <v>5.8342313432997575</v>
      </c>
      <c r="Y76" s="20">
        <v>7.8E-2</v>
      </c>
      <c r="Z76" s="21">
        <f t="shared" ref="Z76" si="31">(EXP(Y76)-1)*100</f>
        <v>8.1122658670083059</v>
      </c>
      <c r="AA76" s="87">
        <f>(EXP(0.059) - 1) * 100</f>
        <v>6.0775240740158942</v>
      </c>
      <c r="AB76" s="87">
        <f>(EXP(0.097) - 1) * 100</f>
        <v>10.186037362101064</v>
      </c>
      <c r="AC76" s="89" t="s">
        <v>112</v>
      </c>
      <c r="AD76" s="15" t="s">
        <v>183</v>
      </c>
      <c r="AE76" s="15">
        <v>-0.1249</v>
      </c>
      <c r="AF76" s="15" t="s">
        <v>403</v>
      </c>
      <c r="AG76" s="15" t="s">
        <v>404</v>
      </c>
      <c r="AH76" s="15" t="s">
        <v>183</v>
      </c>
      <c r="AI76" s="15">
        <v>6.83E-2</v>
      </c>
      <c r="AJ76" s="15" t="s">
        <v>405</v>
      </c>
      <c r="AK76" s="15" t="s">
        <v>406</v>
      </c>
      <c r="AL76" s="15" t="s">
        <v>183</v>
      </c>
      <c r="AM76" s="15">
        <v>7.2900000000000006E-2</v>
      </c>
      <c r="AN76" s="15" t="s">
        <v>407</v>
      </c>
      <c r="AO76" s="15" t="s">
        <v>408</v>
      </c>
      <c r="AP76" s="15" t="s">
        <v>183</v>
      </c>
      <c r="AQ76" s="15">
        <v>-2.5100000000000001E-2</v>
      </c>
      <c r="AR76" s="15" t="s">
        <v>409</v>
      </c>
      <c r="AS76" s="15" t="s">
        <v>410</v>
      </c>
      <c r="AT76" s="15" t="s">
        <v>183</v>
      </c>
      <c r="AU76" s="15">
        <v>9.9400000000000002E-2</v>
      </c>
      <c r="AV76" s="15" t="s">
        <v>411</v>
      </c>
      <c r="AW76" s="15" t="s">
        <v>412</v>
      </c>
      <c r="AX76" s="15" t="s">
        <v>183</v>
      </c>
      <c r="AY76" s="15">
        <v>0.10970000000000001</v>
      </c>
      <c r="AZ76" s="15" t="s">
        <v>413</v>
      </c>
      <c r="BA76" s="15" t="s">
        <v>149</v>
      </c>
      <c r="BB76" s="15" t="s">
        <v>183</v>
      </c>
      <c r="BC76" s="15">
        <v>-5.0299999999999997E-2</v>
      </c>
      <c r="BD76" s="15" t="s">
        <v>414</v>
      </c>
      <c r="BE76" s="15" t="s">
        <v>415</v>
      </c>
      <c r="BF76" s="15" t="s">
        <v>183</v>
      </c>
      <c r="BG76" s="15">
        <v>5.3699999999999998E-2</v>
      </c>
      <c r="BH76" s="15" t="s">
        <v>416</v>
      </c>
      <c r="BI76" s="15" t="s">
        <v>349</v>
      </c>
      <c r="BJ76" s="15" t="s">
        <v>183</v>
      </c>
      <c r="BK76" s="15">
        <v>7.8E-2</v>
      </c>
      <c r="BL76" s="15" t="s">
        <v>417</v>
      </c>
      <c r="BM76" s="15" t="s">
        <v>149</v>
      </c>
      <c r="BN76" s="15" t="s">
        <v>183</v>
      </c>
      <c r="BO76" s="15">
        <v>7.4899999999999994E-2</v>
      </c>
      <c r="BP76" s="15" t="s">
        <v>418</v>
      </c>
      <c r="BQ76" s="15" t="s">
        <v>419</v>
      </c>
      <c r="BR76" s="15" t="s">
        <v>183</v>
      </c>
      <c r="BS76" s="15">
        <v>7.17E-2</v>
      </c>
      <c r="BT76" s="15" t="s">
        <v>420</v>
      </c>
      <c r="BU76" s="15" t="s">
        <v>421</v>
      </c>
      <c r="BV76" s="15" t="s">
        <v>183</v>
      </c>
      <c r="BW76" s="111">
        <v>0.1</v>
      </c>
      <c r="BX76" s="15" t="s">
        <v>422</v>
      </c>
      <c r="BY76" s="15" t="s">
        <v>423</v>
      </c>
      <c r="BZ76" s="15" t="s">
        <v>183</v>
      </c>
      <c r="CA76" s="15">
        <v>0.12230000000000001</v>
      </c>
      <c r="CB76" s="15" t="s">
        <v>424</v>
      </c>
      <c r="CC76" s="15" t="s">
        <v>425</v>
      </c>
      <c r="CD76" s="15" t="s">
        <v>183</v>
      </c>
      <c r="CE76" s="15">
        <v>4.2900000000000001E-2</v>
      </c>
      <c r="CF76" s="15" t="s">
        <v>426</v>
      </c>
      <c r="CG76" s="15" t="s">
        <v>427</v>
      </c>
      <c r="CH76" s="15" t="s">
        <v>183</v>
      </c>
      <c r="CI76" s="15">
        <v>4.1099999999999998E-2</v>
      </c>
      <c r="CJ76" s="15" t="s">
        <v>428</v>
      </c>
      <c r="CK76" s="15" t="s">
        <v>429</v>
      </c>
      <c r="CL76" s="15" t="s">
        <v>183</v>
      </c>
      <c r="CM76" s="15">
        <v>2.06E-2</v>
      </c>
      <c r="CN76" s="15" t="s">
        <v>430</v>
      </c>
      <c r="CO76" s="15" t="s">
        <v>431</v>
      </c>
      <c r="CP76" s="15" t="s">
        <v>183</v>
      </c>
      <c r="CQ76" s="15">
        <v>5.7700000000000001E-2</v>
      </c>
      <c r="CR76" s="15" t="s">
        <v>432</v>
      </c>
      <c r="CS76" s="15" t="s">
        <v>433</v>
      </c>
      <c r="CT76" s="15" t="s">
        <v>183</v>
      </c>
      <c r="CU76" s="15">
        <v>6.7699999999999996E-2</v>
      </c>
      <c r="CV76" s="15" t="s">
        <v>434</v>
      </c>
      <c r="CW76" s="15" t="s">
        <v>435</v>
      </c>
      <c r="CX76" s="15" t="s">
        <v>183</v>
      </c>
      <c r="CY76" s="15">
        <v>0.18029999999999999</v>
      </c>
      <c r="CZ76" s="15" t="s">
        <v>436</v>
      </c>
      <c r="DA76" s="15" t="s">
        <v>437</v>
      </c>
      <c r="DB76" s="15" t="s">
        <v>183</v>
      </c>
      <c r="DC76" s="15">
        <v>4.1700000000000001E-2</v>
      </c>
      <c r="DD76" s="15" t="s">
        <v>438</v>
      </c>
      <c r="DE76" s="15" t="s">
        <v>439</v>
      </c>
      <c r="DF76" s="15" t="s">
        <v>183</v>
      </c>
      <c r="DG76" s="15">
        <v>5.7099999999999998E-2</v>
      </c>
      <c r="DH76" s="15" t="s">
        <v>440</v>
      </c>
      <c r="DI76" s="15" t="s">
        <v>441</v>
      </c>
      <c r="DJ76" s="15" t="s">
        <v>183</v>
      </c>
      <c r="DK76" s="15">
        <v>-3.3999999999999998E-3</v>
      </c>
      <c r="DL76" s="15" t="s">
        <v>442</v>
      </c>
      <c r="DM76" s="15" t="s">
        <v>443</v>
      </c>
      <c r="DN76" s="15" t="s">
        <v>183</v>
      </c>
      <c r="DO76" s="15">
        <v>3.1699999999999999E-2</v>
      </c>
      <c r="DP76" s="15" t="s">
        <v>444</v>
      </c>
      <c r="DQ76" s="15" t="s">
        <v>445</v>
      </c>
      <c r="DR76" s="15" t="s">
        <v>183</v>
      </c>
      <c r="DS76" s="15">
        <v>7.7000000000000002E-3</v>
      </c>
      <c r="DT76" s="15" t="s">
        <v>446</v>
      </c>
      <c r="DU76" s="15" t="s">
        <v>447</v>
      </c>
      <c r="DV76" s="15" t="s">
        <v>183</v>
      </c>
      <c r="DW76" s="15">
        <v>0.2137</v>
      </c>
      <c r="DX76" s="15" t="s">
        <v>448</v>
      </c>
      <c r="DY76" s="15" t="s">
        <v>449</v>
      </c>
      <c r="DZ76" s="15" t="s">
        <v>183</v>
      </c>
      <c r="EA76" s="15">
        <v>1.49E-2</v>
      </c>
      <c r="EB76" s="15" t="s">
        <v>450</v>
      </c>
      <c r="EC76" s="15" t="s">
        <v>451</v>
      </c>
      <c r="ED76" s="15" t="s">
        <v>183</v>
      </c>
      <c r="EE76" s="15">
        <v>8.5400000000000004E-2</v>
      </c>
      <c r="EF76" s="15" t="s">
        <v>452</v>
      </c>
      <c r="EG76" s="15" t="s">
        <v>453</v>
      </c>
    </row>
    <row r="77" spans="1:137" ht="15.6" thickTop="1" thickBot="1" x14ac:dyDescent="0.35">
      <c r="A77" s="90"/>
      <c r="B77" s="91">
        <v>2017</v>
      </c>
      <c r="C77" s="85">
        <v>316325</v>
      </c>
      <c r="D77" s="86">
        <v>11</v>
      </c>
      <c r="E77" s="19">
        <f>(D77/C77)*100000</f>
        <v>3.4774361811428118</v>
      </c>
      <c r="F77" s="19">
        <f>LN(E77)</f>
        <v>1.2462952927111346</v>
      </c>
      <c r="G77" s="25"/>
      <c r="H77" s="21"/>
      <c r="I77" s="92"/>
      <c r="J77" s="92"/>
      <c r="K77" s="93"/>
      <c r="L77" s="85">
        <v>194816</v>
      </c>
      <c r="M77" s="86">
        <v>79</v>
      </c>
      <c r="N77" s="19">
        <f t="shared" si="24"/>
        <v>40.551084099868596</v>
      </c>
      <c r="O77" s="19">
        <f t="shared" si="25"/>
        <v>3.7025625150960018</v>
      </c>
      <c r="P77" s="25"/>
      <c r="Q77" s="21"/>
      <c r="R77" s="92"/>
      <c r="S77" s="92"/>
      <c r="T77" s="93"/>
      <c r="U77" s="85">
        <v>111260</v>
      </c>
      <c r="V77" s="86">
        <v>406</v>
      </c>
      <c r="W77" s="19">
        <f t="shared" si="22"/>
        <v>364.9110192342261</v>
      </c>
      <c r="X77" s="19">
        <f t="shared" si="23"/>
        <v>5.8996535409426771</v>
      </c>
      <c r="Y77" s="25"/>
      <c r="Z77" s="21"/>
      <c r="AA77" s="92"/>
      <c r="AB77" s="92"/>
      <c r="AC77" s="95"/>
      <c r="AD77" s="15" t="s">
        <v>238</v>
      </c>
      <c r="AE77" s="15" t="s">
        <v>454</v>
      </c>
      <c r="AF77" s="15"/>
      <c r="AG77" s="15"/>
      <c r="AH77" s="15" t="s">
        <v>238</v>
      </c>
      <c r="AI77" s="15" t="s">
        <v>455</v>
      </c>
      <c r="AJ77" s="15"/>
      <c r="AK77" s="15"/>
      <c r="AL77" s="15" t="s">
        <v>238</v>
      </c>
      <c r="AM77" s="15" t="s">
        <v>456</v>
      </c>
      <c r="AN77" s="15"/>
      <c r="AO77" s="15"/>
      <c r="AP77" s="15" t="s">
        <v>238</v>
      </c>
      <c r="AQ77" s="15" t="s">
        <v>457</v>
      </c>
      <c r="AR77" s="15"/>
      <c r="AS77" s="15"/>
      <c r="AT77" s="15" t="s">
        <v>238</v>
      </c>
      <c r="AU77" s="15" t="s">
        <v>458</v>
      </c>
      <c r="AV77" s="15"/>
      <c r="AW77" s="15"/>
      <c r="AX77" s="15" t="s">
        <v>238</v>
      </c>
      <c r="AY77" s="15" t="s">
        <v>459</v>
      </c>
      <c r="AZ77" s="15"/>
      <c r="BA77" s="15"/>
      <c r="BB77" s="15" t="s">
        <v>238</v>
      </c>
      <c r="BC77" s="15" t="s">
        <v>460</v>
      </c>
      <c r="BD77" s="15"/>
      <c r="BE77" s="15"/>
      <c r="BF77" s="15" t="s">
        <v>238</v>
      </c>
      <c r="BG77" s="15" t="s">
        <v>461</v>
      </c>
      <c r="BH77" s="15"/>
      <c r="BI77" s="15"/>
      <c r="BJ77" s="15" t="s">
        <v>238</v>
      </c>
      <c r="BK77" s="15" t="s">
        <v>462</v>
      </c>
      <c r="BL77" s="15"/>
      <c r="BM77" s="15"/>
      <c r="BN77" s="15" t="s">
        <v>238</v>
      </c>
      <c r="BO77" s="15" t="s">
        <v>463</v>
      </c>
      <c r="BP77" s="15"/>
      <c r="BQ77" s="15"/>
      <c r="BR77" s="15" t="s">
        <v>238</v>
      </c>
      <c r="BS77" s="15" t="s">
        <v>464</v>
      </c>
      <c r="BT77" s="15"/>
      <c r="BU77" s="15"/>
      <c r="BV77" s="15" t="s">
        <v>238</v>
      </c>
      <c r="BW77" s="15" t="s">
        <v>465</v>
      </c>
      <c r="BX77" s="15"/>
      <c r="BY77" s="15"/>
      <c r="BZ77" s="15" t="s">
        <v>238</v>
      </c>
      <c r="CA77" s="15" t="s">
        <v>466</v>
      </c>
      <c r="CB77" s="15"/>
      <c r="CC77" s="15"/>
      <c r="CD77" s="15" t="s">
        <v>238</v>
      </c>
      <c r="CE77" s="15" t="s">
        <v>467</v>
      </c>
      <c r="CF77" s="15"/>
      <c r="CG77" s="15"/>
      <c r="CH77" s="15" t="s">
        <v>238</v>
      </c>
      <c r="CI77" s="15" t="s">
        <v>468</v>
      </c>
      <c r="CJ77" s="15"/>
      <c r="CK77" s="15"/>
      <c r="CL77" s="15" t="s">
        <v>238</v>
      </c>
      <c r="CM77" s="15" t="s">
        <v>469</v>
      </c>
      <c r="CN77" s="15"/>
      <c r="CO77" s="15"/>
      <c r="CP77" s="15" t="s">
        <v>238</v>
      </c>
      <c r="CQ77" s="15" t="s">
        <v>470</v>
      </c>
      <c r="CR77" s="15"/>
      <c r="CS77" s="15"/>
      <c r="CT77" s="15" t="s">
        <v>238</v>
      </c>
      <c r="CU77" s="15" t="s">
        <v>471</v>
      </c>
      <c r="CV77" s="15"/>
      <c r="CW77" s="15"/>
      <c r="CX77" s="15" t="s">
        <v>238</v>
      </c>
      <c r="CY77" s="15" t="s">
        <v>472</v>
      </c>
      <c r="CZ77" s="15"/>
      <c r="DA77" s="15"/>
      <c r="DB77" s="15" t="s">
        <v>238</v>
      </c>
      <c r="DC77" s="15" t="s">
        <v>473</v>
      </c>
      <c r="DD77" s="15"/>
      <c r="DE77" s="15"/>
      <c r="DF77" s="15" t="s">
        <v>238</v>
      </c>
      <c r="DG77" s="15" t="s">
        <v>474</v>
      </c>
      <c r="DH77" s="15"/>
      <c r="DI77" s="15"/>
      <c r="DJ77" s="15" t="s">
        <v>238</v>
      </c>
      <c r="DK77" s="15" t="s">
        <v>475</v>
      </c>
      <c r="DL77" s="15"/>
      <c r="DM77" s="15"/>
      <c r="DN77" s="15" t="s">
        <v>238</v>
      </c>
      <c r="DO77" s="15" t="s">
        <v>476</v>
      </c>
      <c r="DP77" s="15"/>
      <c r="DQ77" s="15"/>
      <c r="DR77" s="15" t="s">
        <v>238</v>
      </c>
      <c r="DS77" s="15" t="s">
        <v>477</v>
      </c>
      <c r="DT77" s="15"/>
      <c r="DU77" s="15"/>
      <c r="DV77" s="15" t="s">
        <v>238</v>
      </c>
      <c r="DW77" s="15" t="s">
        <v>478</v>
      </c>
      <c r="DX77" s="15"/>
      <c r="DY77" s="15"/>
      <c r="DZ77" s="15" t="s">
        <v>238</v>
      </c>
      <c r="EA77" s="15" t="s">
        <v>479</v>
      </c>
      <c r="EB77" s="15"/>
      <c r="EC77" s="15"/>
      <c r="ED77" s="15" t="s">
        <v>238</v>
      </c>
      <c r="EE77" s="15" t="s">
        <v>480</v>
      </c>
      <c r="EF77" s="15"/>
      <c r="EG77" s="15"/>
    </row>
    <row r="78" spans="1:137" ht="15.6" thickTop="1" thickBot="1" x14ac:dyDescent="0.35">
      <c r="A78" s="90"/>
      <c r="B78" s="91">
        <v>2018</v>
      </c>
      <c r="C78" s="85">
        <v>324657</v>
      </c>
      <c r="D78" s="86">
        <v>15</v>
      </c>
      <c r="E78" s="19">
        <f t="shared" si="20"/>
        <v>4.6202607675177187</v>
      </c>
      <c r="F78" s="19">
        <f t="shared" si="21"/>
        <v>1.5304511466864443</v>
      </c>
      <c r="G78" s="25"/>
      <c r="H78" s="21"/>
      <c r="I78" s="92"/>
      <c r="J78" s="92"/>
      <c r="K78" s="93"/>
      <c r="L78" s="85">
        <v>200423</v>
      </c>
      <c r="M78" s="86">
        <v>86</v>
      </c>
      <c r="N78" s="19">
        <f t="shared" si="24"/>
        <v>42.909246942716152</v>
      </c>
      <c r="O78" s="19">
        <f t="shared" si="25"/>
        <v>3.7590873491574328</v>
      </c>
      <c r="P78" s="25"/>
      <c r="Q78" s="21"/>
      <c r="R78" s="92"/>
      <c r="S78" s="92"/>
      <c r="T78" s="93"/>
      <c r="U78" s="85">
        <v>115975</v>
      </c>
      <c r="V78" s="86">
        <v>449</v>
      </c>
      <c r="W78" s="19">
        <f t="shared" si="22"/>
        <v>387.15240353524467</v>
      </c>
      <c r="X78" s="19">
        <f t="shared" si="23"/>
        <v>5.9588184230925387</v>
      </c>
      <c r="Y78" s="25"/>
      <c r="Z78" s="21"/>
      <c r="AA78" s="92"/>
      <c r="AB78" s="92"/>
      <c r="AC78" s="95"/>
      <c r="AD78" s="15" t="s">
        <v>266</v>
      </c>
      <c r="AE78" s="15" t="s">
        <v>481</v>
      </c>
      <c r="AF78" s="15"/>
      <c r="AG78" s="15"/>
      <c r="AH78" s="15" t="s">
        <v>266</v>
      </c>
      <c r="AI78" s="15" t="s">
        <v>482</v>
      </c>
      <c r="AJ78" s="15"/>
      <c r="AK78" s="15"/>
      <c r="AL78" s="15" t="s">
        <v>266</v>
      </c>
      <c r="AM78" s="15" t="s">
        <v>483</v>
      </c>
      <c r="AN78" s="15"/>
      <c r="AO78" s="15"/>
      <c r="AP78" s="15" t="s">
        <v>266</v>
      </c>
      <c r="AQ78" s="15" t="s">
        <v>484</v>
      </c>
      <c r="AR78" s="15"/>
      <c r="AS78" s="15"/>
      <c r="AT78" s="15" t="s">
        <v>266</v>
      </c>
      <c r="AU78" s="15" t="s">
        <v>485</v>
      </c>
      <c r="AV78" s="15"/>
      <c r="AW78" s="15"/>
      <c r="AX78" s="15" t="s">
        <v>266</v>
      </c>
      <c r="AY78" s="15" t="s">
        <v>486</v>
      </c>
      <c r="AZ78" s="15"/>
      <c r="BA78" s="15"/>
      <c r="BB78" s="15" t="s">
        <v>266</v>
      </c>
      <c r="BC78" s="15" t="s">
        <v>487</v>
      </c>
      <c r="BD78" s="15"/>
      <c r="BE78" s="15"/>
      <c r="BF78" s="15" t="s">
        <v>266</v>
      </c>
      <c r="BG78" s="15" t="s">
        <v>488</v>
      </c>
      <c r="BH78" s="15"/>
      <c r="BI78" s="15"/>
      <c r="BJ78" s="15" t="s">
        <v>266</v>
      </c>
      <c r="BK78" s="15" t="s">
        <v>489</v>
      </c>
      <c r="BL78" s="15"/>
      <c r="BM78" s="15"/>
      <c r="BN78" s="15" t="s">
        <v>266</v>
      </c>
      <c r="BO78" s="15" t="s">
        <v>490</v>
      </c>
      <c r="BP78" s="15"/>
      <c r="BQ78" s="15"/>
      <c r="BR78" s="15" t="s">
        <v>266</v>
      </c>
      <c r="BS78" s="15" t="s">
        <v>491</v>
      </c>
      <c r="BT78" s="15"/>
      <c r="BU78" s="15"/>
      <c r="BV78" s="15" t="s">
        <v>266</v>
      </c>
      <c r="BW78" s="15" t="s">
        <v>492</v>
      </c>
      <c r="BX78" s="15"/>
      <c r="BY78" s="15"/>
      <c r="BZ78" s="15" t="s">
        <v>266</v>
      </c>
      <c r="CA78" s="15" t="s">
        <v>493</v>
      </c>
      <c r="CB78" s="15"/>
      <c r="CC78" s="15"/>
      <c r="CD78" s="15" t="s">
        <v>266</v>
      </c>
      <c r="CE78" s="15" t="s">
        <v>494</v>
      </c>
      <c r="CF78" s="15"/>
      <c r="CG78" s="15"/>
      <c r="CH78" s="15" t="s">
        <v>266</v>
      </c>
      <c r="CI78" s="15" t="s">
        <v>495</v>
      </c>
      <c r="CJ78" s="15"/>
      <c r="CK78" s="15"/>
      <c r="CL78" s="15" t="s">
        <v>266</v>
      </c>
      <c r="CM78" s="15" t="s">
        <v>496</v>
      </c>
      <c r="CN78" s="15"/>
      <c r="CO78" s="15"/>
      <c r="CP78" s="15" t="s">
        <v>266</v>
      </c>
      <c r="CQ78" s="15" t="s">
        <v>497</v>
      </c>
      <c r="CR78" s="15"/>
      <c r="CS78" s="15"/>
      <c r="CT78" s="15" t="s">
        <v>266</v>
      </c>
      <c r="CU78" s="15" t="s">
        <v>498</v>
      </c>
      <c r="CV78" s="15"/>
      <c r="CW78" s="15"/>
      <c r="CX78" s="15" t="s">
        <v>266</v>
      </c>
      <c r="CY78" s="15" t="s">
        <v>499</v>
      </c>
      <c r="CZ78" s="15"/>
      <c r="DA78" s="15"/>
      <c r="DB78" s="15" t="s">
        <v>266</v>
      </c>
      <c r="DC78" s="15" t="s">
        <v>500</v>
      </c>
      <c r="DD78" s="15"/>
      <c r="DE78" s="15"/>
      <c r="DF78" s="15" t="s">
        <v>266</v>
      </c>
      <c r="DG78" s="15" t="s">
        <v>501</v>
      </c>
      <c r="DH78" s="15"/>
      <c r="DI78" s="15"/>
      <c r="DJ78" s="15" t="s">
        <v>266</v>
      </c>
      <c r="DK78" s="15" t="s">
        <v>502</v>
      </c>
      <c r="DL78" s="15"/>
      <c r="DM78" s="15"/>
      <c r="DN78" s="15" t="s">
        <v>266</v>
      </c>
      <c r="DO78" s="15" t="s">
        <v>503</v>
      </c>
      <c r="DP78" s="15"/>
      <c r="DQ78" s="15"/>
      <c r="DR78" s="15" t="s">
        <v>266</v>
      </c>
      <c r="DS78" s="15" t="s">
        <v>504</v>
      </c>
      <c r="DT78" s="15"/>
      <c r="DU78" s="15"/>
      <c r="DV78" s="15" t="s">
        <v>266</v>
      </c>
      <c r="DW78" s="15" t="s">
        <v>505</v>
      </c>
      <c r="DX78" s="15"/>
      <c r="DY78" s="15"/>
      <c r="DZ78" s="15" t="s">
        <v>266</v>
      </c>
      <c r="EA78" s="15" t="s">
        <v>506</v>
      </c>
      <c r="EB78" s="15"/>
      <c r="EC78" s="15"/>
      <c r="ED78" s="15" t="s">
        <v>266</v>
      </c>
      <c r="EE78" s="15" t="s">
        <v>507</v>
      </c>
      <c r="EF78" s="15"/>
      <c r="EG78" s="15"/>
    </row>
    <row r="79" spans="1:137" ht="15.6" thickTop="1" thickBot="1" x14ac:dyDescent="0.35">
      <c r="A79" s="90"/>
      <c r="B79" s="91">
        <v>2019</v>
      </c>
      <c r="C79" s="85">
        <v>333998</v>
      </c>
      <c r="D79" s="86">
        <v>13</v>
      </c>
      <c r="E79" s="19">
        <f t="shared" si="20"/>
        <v>3.8922388756818904</v>
      </c>
      <c r="F79" s="19">
        <f t="shared" si="21"/>
        <v>1.358984538514808</v>
      </c>
      <c r="G79" s="25"/>
      <c r="H79" s="21"/>
      <c r="I79" s="92"/>
      <c r="J79" s="92"/>
      <c r="K79" s="93"/>
      <c r="L79" s="85">
        <v>206567</v>
      </c>
      <c r="M79" s="86">
        <v>102</v>
      </c>
      <c r="N79" s="19">
        <f t="shared" si="24"/>
        <v>49.37865196280142</v>
      </c>
      <c r="O79" s="19">
        <f t="shared" si="25"/>
        <v>3.8995181842896716</v>
      </c>
      <c r="P79" s="25"/>
      <c r="Q79" s="21"/>
      <c r="R79" s="92"/>
      <c r="S79" s="92"/>
      <c r="T79" s="93"/>
      <c r="U79" s="85">
        <v>120503</v>
      </c>
      <c r="V79" s="86">
        <v>524</v>
      </c>
      <c r="W79" s="19">
        <f t="shared" si="22"/>
        <v>434.84394579388066</v>
      </c>
      <c r="X79" s="19">
        <f t="shared" si="23"/>
        <v>6.0749872214227709</v>
      </c>
      <c r="Y79" s="25"/>
      <c r="Z79" s="21"/>
      <c r="AA79" s="92"/>
      <c r="AB79" s="92"/>
      <c r="AC79" s="95"/>
      <c r="AD79" s="15" t="s">
        <v>294</v>
      </c>
      <c r="AE79" s="15" t="s">
        <v>295</v>
      </c>
      <c r="AF79" s="15"/>
      <c r="AG79" s="15"/>
      <c r="AH79" s="15" t="s">
        <v>294</v>
      </c>
      <c r="AI79" s="15" t="s">
        <v>295</v>
      </c>
      <c r="AJ79" s="15"/>
      <c r="AK79" s="15"/>
      <c r="AL79" s="15" t="s">
        <v>294</v>
      </c>
      <c r="AM79" s="15" t="s">
        <v>295</v>
      </c>
      <c r="AN79" s="15"/>
      <c r="AO79" s="15"/>
      <c r="AP79" s="15" t="s">
        <v>294</v>
      </c>
      <c r="AQ79" s="15" t="s">
        <v>295</v>
      </c>
      <c r="AR79" s="15"/>
      <c r="AS79" s="15"/>
      <c r="AT79" s="15" t="s">
        <v>294</v>
      </c>
      <c r="AU79" s="15" t="s">
        <v>295</v>
      </c>
      <c r="AV79" s="15"/>
      <c r="AW79" s="15"/>
      <c r="AX79" s="15" t="s">
        <v>294</v>
      </c>
      <c r="AY79" s="15" t="s">
        <v>295</v>
      </c>
      <c r="AZ79" s="15"/>
      <c r="BA79" s="15"/>
      <c r="BB79" s="15" t="s">
        <v>294</v>
      </c>
      <c r="BC79" s="15" t="s">
        <v>295</v>
      </c>
      <c r="BD79" s="15"/>
      <c r="BE79" s="15"/>
      <c r="BF79" s="15" t="s">
        <v>294</v>
      </c>
      <c r="BG79" s="15" t="s">
        <v>295</v>
      </c>
      <c r="BH79" s="15"/>
      <c r="BI79" s="15"/>
      <c r="BJ79" s="15" t="s">
        <v>294</v>
      </c>
      <c r="BK79" s="15" t="s">
        <v>295</v>
      </c>
      <c r="BL79" s="15"/>
      <c r="BM79" s="15"/>
      <c r="BN79" s="15" t="s">
        <v>294</v>
      </c>
      <c r="BO79" s="15" t="s">
        <v>295</v>
      </c>
      <c r="BP79" s="15"/>
      <c r="BQ79" s="15"/>
      <c r="BR79" s="15" t="s">
        <v>294</v>
      </c>
      <c r="BS79" s="15" t="s">
        <v>295</v>
      </c>
      <c r="BT79" s="15"/>
      <c r="BU79" s="15"/>
      <c r="BV79" s="15" t="s">
        <v>294</v>
      </c>
      <c r="BW79" s="15" t="s">
        <v>295</v>
      </c>
      <c r="BX79" s="15"/>
      <c r="BY79" s="15"/>
      <c r="BZ79" s="15" t="s">
        <v>294</v>
      </c>
      <c r="CA79" s="15" t="s">
        <v>295</v>
      </c>
      <c r="CB79" s="15"/>
      <c r="CC79" s="15"/>
      <c r="CD79" s="15" t="s">
        <v>294</v>
      </c>
      <c r="CE79" s="15" t="s">
        <v>295</v>
      </c>
      <c r="CF79" s="15"/>
      <c r="CG79" s="15"/>
      <c r="CH79" s="15" t="s">
        <v>294</v>
      </c>
      <c r="CI79" s="15" t="s">
        <v>295</v>
      </c>
      <c r="CJ79" s="15"/>
      <c r="CK79" s="15"/>
      <c r="CL79" s="15" t="s">
        <v>294</v>
      </c>
      <c r="CM79" s="15" t="s">
        <v>295</v>
      </c>
      <c r="CN79" s="15"/>
      <c r="CO79" s="15"/>
      <c r="CP79" s="15" t="s">
        <v>294</v>
      </c>
      <c r="CQ79" s="15" t="s">
        <v>295</v>
      </c>
      <c r="CR79" s="15"/>
      <c r="CS79" s="15"/>
      <c r="CT79" s="15" t="s">
        <v>294</v>
      </c>
      <c r="CU79" s="15" t="s">
        <v>295</v>
      </c>
      <c r="CV79" s="15"/>
      <c r="CW79" s="15"/>
      <c r="CX79" s="15" t="s">
        <v>294</v>
      </c>
      <c r="CY79" s="15" t="s">
        <v>295</v>
      </c>
      <c r="CZ79" s="15"/>
      <c r="DA79" s="15"/>
      <c r="DB79" s="15" t="s">
        <v>294</v>
      </c>
      <c r="DC79" s="15" t="s">
        <v>295</v>
      </c>
      <c r="DD79" s="15"/>
      <c r="DE79" s="15"/>
      <c r="DF79" s="15" t="s">
        <v>294</v>
      </c>
      <c r="DG79" s="15" t="s">
        <v>295</v>
      </c>
      <c r="DH79" s="15"/>
      <c r="DI79" s="15"/>
      <c r="DJ79" s="15" t="s">
        <v>294</v>
      </c>
      <c r="DK79" s="15" t="s">
        <v>295</v>
      </c>
      <c r="DL79" s="15"/>
      <c r="DM79" s="15"/>
      <c r="DN79" s="15" t="s">
        <v>294</v>
      </c>
      <c r="DO79" s="15" t="s">
        <v>295</v>
      </c>
      <c r="DP79" s="15"/>
      <c r="DQ79" s="15"/>
      <c r="DR79" s="15" t="s">
        <v>294</v>
      </c>
      <c r="DS79" s="15" t="s">
        <v>295</v>
      </c>
      <c r="DT79" s="15"/>
      <c r="DU79" s="15"/>
      <c r="DV79" s="15" t="s">
        <v>294</v>
      </c>
      <c r="DW79" s="15" t="s">
        <v>295</v>
      </c>
      <c r="DX79" s="15"/>
      <c r="DY79" s="15"/>
      <c r="DZ79" s="15" t="s">
        <v>294</v>
      </c>
      <c r="EA79" s="15" t="s">
        <v>295</v>
      </c>
      <c r="EB79" s="15"/>
      <c r="EC79" s="15"/>
      <c r="ED79" s="15" t="s">
        <v>294</v>
      </c>
      <c r="EE79" s="15" t="s">
        <v>295</v>
      </c>
      <c r="EF79" s="15"/>
      <c r="EG79" s="15"/>
    </row>
    <row r="80" spans="1:137" ht="15.6" thickTop="1" thickBot="1" x14ac:dyDescent="0.35">
      <c r="A80" s="90"/>
      <c r="B80" s="91">
        <v>2020</v>
      </c>
      <c r="C80" s="85">
        <v>344501</v>
      </c>
      <c r="D80" s="86">
        <v>10</v>
      </c>
      <c r="E80" s="19">
        <f t="shared" si="20"/>
        <v>2.9027491937614114</v>
      </c>
      <c r="F80" s="19">
        <f t="shared" si="21"/>
        <v>1.065658285775017</v>
      </c>
      <c r="G80" s="25"/>
      <c r="H80" s="21"/>
      <c r="I80" s="92"/>
      <c r="J80" s="92"/>
      <c r="K80" s="93"/>
      <c r="L80" s="85">
        <v>212922</v>
      </c>
      <c r="M80" s="86">
        <v>93</v>
      </c>
      <c r="N80" s="19">
        <f t="shared" si="24"/>
        <v>43.677966579310734</v>
      </c>
      <c r="O80" s="19">
        <f t="shared" si="25"/>
        <v>3.7768437776815826</v>
      </c>
      <c r="P80" s="25"/>
      <c r="Q80" s="21"/>
      <c r="R80" s="92"/>
      <c r="S80" s="92"/>
      <c r="T80" s="93"/>
      <c r="U80" s="85">
        <v>124001</v>
      </c>
      <c r="V80" s="86">
        <v>548</v>
      </c>
      <c r="W80" s="19">
        <f t="shared" si="22"/>
        <v>441.93191990387174</v>
      </c>
      <c r="X80" s="19">
        <f t="shared" si="23"/>
        <v>6.091155842847459</v>
      </c>
      <c r="Y80" s="25"/>
      <c r="Z80" s="21"/>
      <c r="AA80" s="92"/>
      <c r="AB80" s="92"/>
      <c r="AC80" s="93"/>
    </row>
    <row r="81" spans="1:29" ht="15.6" thickTop="1" thickBot="1" x14ac:dyDescent="0.35">
      <c r="A81" s="96"/>
      <c r="B81" s="91">
        <v>2021</v>
      </c>
      <c r="C81" s="85">
        <v>355870</v>
      </c>
      <c r="D81" s="86">
        <v>15</v>
      </c>
      <c r="E81" s="19">
        <f t="shared" si="20"/>
        <v>4.2150223396184003</v>
      </c>
      <c r="F81" s="19">
        <f t="shared" si="21"/>
        <v>1.4386548914678638</v>
      </c>
      <c r="G81" s="34"/>
      <c r="H81" s="21"/>
      <c r="I81" s="97"/>
      <c r="J81" s="97"/>
      <c r="K81" s="98"/>
      <c r="L81" s="85">
        <v>219489</v>
      </c>
      <c r="M81" s="86">
        <v>125</v>
      </c>
      <c r="N81" s="19">
        <f t="shared" si="24"/>
        <v>56.950462209951297</v>
      </c>
      <c r="O81" s="19">
        <f t="shared" si="25"/>
        <v>4.0421818059261261</v>
      </c>
      <c r="P81" s="34"/>
      <c r="Q81" s="21"/>
      <c r="R81" s="97"/>
      <c r="S81" s="97"/>
      <c r="T81" s="98"/>
      <c r="U81" s="85">
        <v>126198</v>
      </c>
      <c r="V81" s="86">
        <v>650</v>
      </c>
      <c r="W81" s="19">
        <f t="shared" si="22"/>
        <v>515.06363016846535</v>
      </c>
      <c r="X81" s="19">
        <f t="shared" si="23"/>
        <v>6.2442904467567786</v>
      </c>
      <c r="Y81" s="34"/>
      <c r="Z81" s="21"/>
      <c r="AA81" s="97"/>
      <c r="AB81" s="97"/>
      <c r="AC81" s="98"/>
    </row>
    <row r="82" spans="1:29" ht="15.6" thickTop="1" thickBot="1" x14ac:dyDescent="0.35">
      <c r="A82" s="100" t="s">
        <v>296</v>
      </c>
      <c r="B82" s="101">
        <v>2016</v>
      </c>
      <c r="C82" s="101">
        <v>193235</v>
      </c>
      <c r="D82" s="102">
        <v>2</v>
      </c>
      <c r="E82" s="19">
        <f t="shared" si="20"/>
        <v>1.0350091857065231</v>
      </c>
      <c r="F82" s="19">
        <f>LN(E82)</f>
        <v>3.441030175671541E-2</v>
      </c>
      <c r="G82" s="20">
        <v>7.4899999999999994E-2</v>
      </c>
      <c r="H82" s="21">
        <f t="shared" ref="H82" si="32">(EXP(G82)-1)*100</f>
        <v>7.7776367858784168</v>
      </c>
      <c r="I82" s="87">
        <f>(EXP(-0.257) - 1) * 100</f>
        <v>-22.663178623455092</v>
      </c>
      <c r="J82" s="87">
        <f>(EXP(0.406) - 1) * 100</f>
        <v>50.080255245801993</v>
      </c>
      <c r="K82" s="103">
        <v>0.56469999999999998</v>
      </c>
      <c r="L82" s="101">
        <v>111403</v>
      </c>
      <c r="M82" s="102">
        <v>15</v>
      </c>
      <c r="N82" s="19">
        <f t="shared" si="24"/>
        <v>13.464628421137672</v>
      </c>
      <c r="O82" s="19">
        <f t="shared" si="25"/>
        <v>2.6000661299776766</v>
      </c>
      <c r="P82" s="20">
        <v>7.17E-2</v>
      </c>
      <c r="Q82" s="21">
        <f t="shared" ref="Q82" si="33">(EXP(P82)-1)*100</f>
        <v>7.4332995815249436</v>
      </c>
      <c r="R82" s="87">
        <f>(EXP(-0.067) - 1) * 100</f>
        <v>-6.4804798663223417</v>
      </c>
      <c r="S82" s="87">
        <f>(EXP(0.21) - 1) * 100</f>
        <v>23.367805995674317</v>
      </c>
      <c r="T82" s="103">
        <v>0.22339999999999999</v>
      </c>
      <c r="U82" s="101">
        <v>59149</v>
      </c>
      <c r="V82" s="102">
        <v>84</v>
      </c>
      <c r="W82" s="19">
        <f t="shared" si="22"/>
        <v>142.0142352364368</v>
      </c>
      <c r="X82" s="19">
        <f t="shared" si="23"/>
        <v>4.9559273007206723</v>
      </c>
      <c r="Y82" s="20">
        <v>0.1</v>
      </c>
      <c r="Z82" s="21">
        <f t="shared" ref="Z82" si="34">(EXP(Y82)-1)*100</f>
        <v>10.517091807564771</v>
      </c>
      <c r="AA82" s="87">
        <f>(EXP(0.005) - 1) * 100</f>
        <v>0.50125208594009596</v>
      </c>
      <c r="AB82" s="87">
        <f>(EXP(0.195) - 1) * 100</f>
        <v>21.531098648973067</v>
      </c>
      <c r="AC82" s="103">
        <v>4.2599999999999999E-2</v>
      </c>
    </row>
    <row r="83" spans="1:29" ht="15.6" thickTop="1" thickBot="1" x14ac:dyDescent="0.35">
      <c r="A83" s="105"/>
      <c r="B83" s="101">
        <v>2017</v>
      </c>
      <c r="C83" s="101">
        <v>200328</v>
      </c>
      <c r="D83" s="102">
        <v>5</v>
      </c>
      <c r="E83" s="19">
        <f t="shared" si="20"/>
        <v>2.4959067129906951</v>
      </c>
      <c r="F83" s="19">
        <f t="shared" si="21"/>
        <v>0.91465207520564651</v>
      </c>
      <c r="G83" s="25"/>
      <c r="H83" s="21"/>
      <c r="I83" s="92"/>
      <c r="J83" s="92"/>
      <c r="K83" s="106"/>
      <c r="L83" s="101">
        <v>114638</v>
      </c>
      <c r="M83" s="102">
        <v>25</v>
      </c>
      <c r="N83" s="19">
        <f t="shared" si="24"/>
        <v>21.807777525776793</v>
      </c>
      <c r="O83" s="19">
        <f t="shared" si="25"/>
        <v>3.0822666734062127</v>
      </c>
      <c r="P83" s="25"/>
      <c r="Q83" s="21"/>
      <c r="R83" s="92"/>
      <c r="S83" s="92"/>
      <c r="T83" s="106"/>
      <c r="U83" s="101">
        <v>61198</v>
      </c>
      <c r="V83" s="102">
        <v>84</v>
      </c>
      <c r="W83" s="19">
        <f t="shared" si="22"/>
        <v>137.259387561685</v>
      </c>
      <c r="X83" s="19">
        <f t="shared" si="23"/>
        <v>4.9218724755856806</v>
      </c>
      <c r="Y83" s="25"/>
      <c r="Z83" s="21"/>
      <c r="AA83" s="92"/>
      <c r="AB83" s="92"/>
      <c r="AC83" s="106"/>
    </row>
    <row r="84" spans="1:29" ht="15.6" thickTop="1" thickBot="1" x14ac:dyDescent="0.35">
      <c r="A84" s="105"/>
      <c r="B84" s="101">
        <v>2018</v>
      </c>
      <c r="C84" s="101">
        <v>207516</v>
      </c>
      <c r="D84" s="102">
        <v>8</v>
      </c>
      <c r="E84" s="19">
        <f t="shared" si="20"/>
        <v>3.8551244241407892</v>
      </c>
      <c r="F84" s="19">
        <f t="shared" si="21"/>
        <v>1.3494032825361417</v>
      </c>
      <c r="G84" s="25"/>
      <c r="H84" s="21"/>
      <c r="I84" s="92"/>
      <c r="J84" s="92"/>
      <c r="K84" s="106"/>
      <c r="L84" s="101">
        <v>118068</v>
      </c>
      <c r="M84" s="102">
        <v>24</v>
      </c>
      <c r="N84" s="19">
        <f t="shared" si="24"/>
        <v>20.327269031405631</v>
      </c>
      <c r="O84" s="19">
        <f t="shared" si="25"/>
        <v>3.0119632866644084</v>
      </c>
      <c r="P84" s="25"/>
      <c r="Q84" s="21"/>
      <c r="R84" s="92"/>
      <c r="S84" s="92"/>
      <c r="T84" s="106"/>
      <c r="U84" s="101">
        <v>63295</v>
      </c>
      <c r="V84" s="102">
        <v>79</v>
      </c>
      <c r="W84" s="19">
        <f t="shared" si="22"/>
        <v>124.81238644442688</v>
      </c>
      <c r="X84" s="19">
        <f t="shared" si="23"/>
        <v>4.8268117013663208</v>
      </c>
      <c r="Y84" s="25"/>
      <c r="Z84" s="21"/>
      <c r="AA84" s="92"/>
      <c r="AB84" s="92"/>
      <c r="AC84" s="106"/>
    </row>
    <row r="85" spans="1:29" ht="15.6" thickTop="1" thickBot="1" x14ac:dyDescent="0.35">
      <c r="A85" s="105"/>
      <c r="B85" s="101">
        <v>2019</v>
      </c>
      <c r="C85" s="101">
        <v>214858</v>
      </c>
      <c r="D85" s="102">
        <v>7</v>
      </c>
      <c r="E85" s="19">
        <f t="shared" si="20"/>
        <v>3.2579657262005606</v>
      </c>
      <c r="F85" s="19">
        <f t="shared" si="21"/>
        <v>1.1811029902351882</v>
      </c>
      <c r="G85" s="25"/>
      <c r="H85" s="21"/>
      <c r="I85" s="92"/>
      <c r="J85" s="92"/>
      <c r="K85" s="106"/>
      <c r="L85" s="101">
        <v>121103</v>
      </c>
      <c r="M85" s="102">
        <v>25</v>
      </c>
      <c r="N85" s="19">
        <f t="shared" si="24"/>
        <v>20.643584386844257</v>
      </c>
      <c r="O85" s="19">
        <f t="shared" si="25"/>
        <v>3.0274045876891429</v>
      </c>
      <c r="P85" s="25"/>
      <c r="Q85" s="21"/>
      <c r="R85" s="92"/>
      <c r="S85" s="92"/>
      <c r="T85" s="106"/>
      <c r="U85" s="101">
        <v>59943</v>
      </c>
      <c r="V85" s="102">
        <v>119</v>
      </c>
      <c r="W85" s="19">
        <f t="shared" si="22"/>
        <v>198.52192916604105</v>
      </c>
      <c r="X85" s="19">
        <f t="shared" si="23"/>
        <v>5.2908995684135158</v>
      </c>
      <c r="Y85" s="25"/>
      <c r="Z85" s="21"/>
      <c r="AA85" s="92"/>
      <c r="AB85" s="92"/>
      <c r="AC85" s="106"/>
    </row>
    <row r="86" spans="1:29" ht="15.6" thickTop="1" thickBot="1" x14ac:dyDescent="0.35">
      <c r="A86" s="105"/>
      <c r="B86" s="101">
        <v>2020</v>
      </c>
      <c r="C86" s="101">
        <v>222116</v>
      </c>
      <c r="D86" s="102">
        <v>4</v>
      </c>
      <c r="E86" s="19">
        <f t="shared" si="20"/>
        <v>1.8008608114678817</v>
      </c>
      <c r="F86" s="19">
        <f t="shared" si="21"/>
        <v>0.58826477918053721</v>
      </c>
      <c r="G86" s="25"/>
      <c r="H86" s="21"/>
      <c r="I86" s="92"/>
      <c r="J86" s="92"/>
      <c r="K86" s="106"/>
      <c r="L86" s="101">
        <v>126125</v>
      </c>
      <c r="M86" s="102">
        <v>21</v>
      </c>
      <c r="N86" s="19">
        <f t="shared" si="24"/>
        <v>16.650148662041623</v>
      </c>
      <c r="O86" s="19">
        <f t="shared" si="25"/>
        <v>2.8124191450377412</v>
      </c>
      <c r="P86" s="25"/>
      <c r="Q86" s="21"/>
      <c r="R86" s="92"/>
      <c r="S86" s="92"/>
      <c r="T86" s="106"/>
      <c r="U86" s="101">
        <v>66660</v>
      </c>
      <c r="V86" s="102">
        <v>127</v>
      </c>
      <c r="W86" s="19">
        <f t="shared" si="22"/>
        <v>190.51905190519051</v>
      </c>
      <c r="X86" s="19">
        <f t="shared" si="23"/>
        <v>5.2497521995670891</v>
      </c>
      <c r="Y86" s="25"/>
      <c r="Z86" s="21"/>
      <c r="AA86" s="92"/>
      <c r="AB86" s="92"/>
      <c r="AC86" s="106"/>
    </row>
    <row r="87" spans="1:29" ht="15.6" thickTop="1" thickBot="1" x14ac:dyDescent="0.35">
      <c r="A87" s="108"/>
      <c r="B87" s="101">
        <v>2021</v>
      </c>
      <c r="C87" s="101">
        <v>229130</v>
      </c>
      <c r="D87" s="102">
        <v>5</v>
      </c>
      <c r="E87" s="19">
        <f t="shared" si="20"/>
        <v>2.1821673285907561</v>
      </c>
      <c r="F87" s="19">
        <f t="shared" si="21"/>
        <v>0.78031857035094043</v>
      </c>
      <c r="G87" s="34"/>
      <c r="H87" s="21"/>
      <c r="I87" s="97"/>
      <c r="J87" s="97"/>
      <c r="K87" s="109"/>
      <c r="L87" s="101">
        <v>130602</v>
      </c>
      <c r="M87" s="102">
        <v>34</v>
      </c>
      <c r="N87" s="19">
        <f t="shared" si="24"/>
        <v>26.033291986340181</v>
      </c>
      <c r="O87" s="19">
        <f t="shared" si="25"/>
        <v>3.2593761799434979</v>
      </c>
      <c r="P87" s="34"/>
      <c r="Q87" s="21"/>
      <c r="R87" s="97"/>
      <c r="S87" s="97"/>
      <c r="T87" s="109"/>
      <c r="U87" s="101">
        <v>67198</v>
      </c>
      <c r="V87" s="102">
        <v>145</v>
      </c>
      <c r="W87" s="19">
        <f t="shared" si="22"/>
        <v>215.78023155451055</v>
      </c>
      <c r="X87" s="19">
        <f t="shared" si="23"/>
        <v>5.3742604432272181</v>
      </c>
      <c r="Y87" s="34"/>
      <c r="Z87" s="21"/>
      <c r="AA87" s="97"/>
      <c r="AB87" s="97"/>
      <c r="AC87" s="109"/>
    </row>
    <row r="88" spans="1:29" ht="15.6" thickTop="1" thickBot="1" x14ac:dyDescent="0.35">
      <c r="A88" s="84" t="s">
        <v>297</v>
      </c>
      <c r="B88" s="85">
        <v>2016</v>
      </c>
      <c r="C88" s="85">
        <v>147976</v>
      </c>
      <c r="D88" s="86">
        <v>3</v>
      </c>
      <c r="E88" s="19">
        <f t="shared" si="20"/>
        <v>2.0273557874249879</v>
      </c>
      <c r="F88" s="19">
        <f t="shared" si="21"/>
        <v>0.70673237620395324</v>
      </c>
      <c r="G88" s="20">
        <v>0.12230000000000001</v>
      </c>
      <c r="H88" s="21">
        <f t="shared" ref="H88" si="35">(EXP(G88)-1)*100</f>
        <v>13.009307885487154</v>
      </c>
      <c r="I88" s="87">
        <f>(EXP(-0.079) - 1) * 100</f>
        <v>-7.5960075554913242</v>
      </c>
      <c r="J88" s="87">
        <f>(EXP(0.323) - 1) * 100</f>
        <v>38.12653509056301</v>
      </c>
      <c r="K88" s="88">
        <v>0.1661</v>
      </c>
      <c r="L88" s="85">
        <v>95552</v>
      </c>
      <c r="M88" s="86">
        <v>41</v>
      </c>
      <c r="N88" s="19">
        <f t="shared" si="24"/>
        <v>42.9085733422639</v>
      </c>
      <c r="O88" s="19">
        <f t="shared" si="25"/>
        <v>3.7590716507756738</v>
      </c>
      <c r="P88" s="20">
        <v>4.2900000000000001E-2</v>
      </c>
      <c r="Q88" s="21">
        <f t="shared" ref="Q88" si="36">(EXP(P88)-1)*100</f>
        <v>4.3833506280642975</v>
      </c>
      <c r="R88" s="87">
        <f>(EXP(-0.072) - 1) * 100</f>
        <v>-6.9469104188794262</v>
      </c>
      <c r="S88" s="87">
        <f>(EXP(0.158) - 1) * 100</f>
        <v>17.116619470766949</v>
      </c>
      <c r="T88" s="88">
        <v>0.3599</v>
      </c>
      <c r="U88" s="85">
        <v>53146</v>
      </c>
      <c r="V88" s="86">
        <v>173</v>
      </c>
      <c r="W88" s="19">
        <f>(V88/U88)*100000</f>
        <v>325.51838332141648</v>
      </c>
      <c r="X88" s="19">
        <f t="shared" si="23"/>
        <v>5.7854189372317792</v>
      </c>
      <c r="Y88" s="20">
        <v>4.1099999999999998E-2</v>
      </c>
      <c r="Z88" s="21">
        <f t="shared" ref="Z88" si="37">(EXP(Y88)-1)*100</f>
        <v>4.1956295965468238</v>
      </c>
      <c r="AA88" s="87">
        <f>(EXP(-0.026) - 1) * 100</f>
        <v>-2.5664910391250628</v>
      </c>
      <c r="AB88" s="87">
        <f>(EXP(0.108) - 1) * 100</f>
        <v>11.404774538646766</v>
      </c>
      <c r="AC88" s="88">
        <v>0.1623</v>
      </c>
    </row>
    <row r="89" spans="1:29" ht="15.6" thickTop="1" thickBot="1" x14ac:dyDescent="0.35">
      <c r="A89" s="90"/>
      <c r="B89" s="91">
        <v>2017</v>
      </c>
      <c r="C89" s="85">
        <v>151213</v>
      </c>
      <c r="D89" s="86">
        <v>7</v>
      </c>
      <c r="E89" s="19">
        <f t="shared" si="20"/>
        <v>4.6292316136840084</v>
      </c>
      <c r="F89" s="19">
        <f t="shared" si="21"/>
        <v>1.5323908961579613</v>
      </c>
      <c r="G89" s="25"/>
      <c r="H89" s="21"/>
      <c r="I89" s="92"/>
      <c r="J89" s="92"/>
      <c r="K89" s="93"/>
      <c r="L89" s="85">
        <v>97928</v>
      </c>
      <c r="M89" s="86">
        <v>38</v>
      </c>
      <c r="N89" s="19">
        <f t="shared" si="24"/>
        <v>38.804019279470637</v>
      </c>
      <c r="O89" s="19">
        <f t="shared" si="25"/>
        <v>3.6585238309412658</v>
      </c>
      <c r="P89" s="25"/>
      <c r="Q89" s="21"/>
      <c r="R89" s="92"/>
      <c r="S89" s="92"/>
      <c r="T89" s="93"/>
      <c r="U89" s="85">
        <v>55288</v>
      </c>
      <c r="V89" s="86">
        <v>185</v>
      </c>
      <c r="W89" s="19">
        <f t="shared" si="22"/>
        <v>334.6114889306902</v>
      </c>
      <c r="X89" s="19">
        <f>LN(W89)</f>
        <v>5.8129701242773226</v>
      </c>
      <c r="Y89" s="25"/>
      <c r="Z89" s="21"/>
      <c r="AA89" s="92"/>
      <c r="AB89" s="92"/>
      <c r="AC89" s="93"/>
    </row>
    <row r="90" spans="1:29" ht="15.6" thickTop="1" thickBot="1" x14ac:dyDescent="0.35">
      <c r="A90" s="90"/>
      <c r="B90" s="91">
        <v>2018</v>
      </c>
      <c r="C90" s="85">
        <v>154582</v>
      </c>
      <c r="D90" s="86">
        <v>7</v>
      </c>
      <c r="E90" s="19">
        <f t="shared" si="20"/>
        <v>4.5283409452588268</v>
      </c>
      <c r="F90" s="19">
        <f t="shared" si="21"/>
        <v>1.5103556351639951</v>
      </c>
      <c r="G90" s="25"/>
      <c r="H90" s="21"/>
      <c r="I90" s="92"/>
      <c r="J90" s="92"/>
      <c r="K90" s="93"/>
      <c r="L90" s="85">
        <v>100421</v>
      </c>
      <c r="M90" s="86">
        <v>34</v>
      </c>
      <c r="N90" s="19">
        <f t="shared" si="24"/>
        <v>33.857460093008434</v>
      </c>
      <c r="O90" s="19">
        <f t="shared" si="25"/>
        <v>3.5221593618716134</v>
      </c>
      <c r="P90" s="25"/>
      <c r="Q90" s="21"/>
      <c r="R90" s="92"/>
      <c r="S90" s="92"/>
      <c r="T90" s="93"/>
      <c r="U90" s="85">
        <v>57631</v>
      </c>
      <c r="V90" s="86">
        <v>182</v>
      </c>
      <c r="W90" s="19">
        <f t="shared" si="22"/>
        <v>315.80225920077737</v>
      </c>
      <c r="X90" s="19">
        <f t="shared" si="23"/>
        <v>5.7551162556932844</v>
      </c>
      <c r="Y90" s="25"/>
      <c r="Z90" s="21"/>
      <c r="AA90" s="92"/>
      <c r="AB90" s="92"/>
      <c r="AC90" s="93"/>
    </row>
    <row r="91" spans="1:29" ht="15.6" thickTop="1" thickBot="1" x14ac:dyDescent="0.35">
      <c r="A91" s="90"/>
      <c r="B91" s="91">
        <v>2019</v>
      </c>
      <c r="C91" s="85">
        <v>158380</v>
      </c>
      <c r="D91" s="86">
        <v>5</v>
      </c>
      <c r="E91" s="19">
        <f t="shared" si="20"/>
        <v>3.1569642631645412</v>
      </c>
      <c r="F91" s="19">
        <f t="shared" si="21"/>
        <v>1.1496108896399253</v>
      </c>
      <c r="G91" s="25"/>
      <c r="H91" s="21"/>
      <c r="I91" s="92"/>
      <c r="J91" s="92"/>
      <c r="K91" s="93"/>
      <c r="L91" s="85">
        <v>103103</v>
      </c>
      <c r="M91" s="86">
        <v>35</v>
      </c>
      <c r="N91" s="19">
        <f t="shared" si="24"/>
        <v>33.946635888383462</v>
      </c>
      <c r="O91" s="19">
        <f t="shared" si="25"/>
        <v>3.5247897589147859</v>
      </c>
      <c r="P91" s="25"/>
      <c r="Q91" s="21"/>
      <c r="R91" s="92"/>
      <c r="S91" s="92"/>
      <c r="T91" s="93"/>
      <c r="U91" s="85">
        <v>59943</v>
      </c>
      <c r="V91" s="86">
        <v>185</v>
      </c>
      <c r="W91" s="19">
        <f t="shared" si="22"/>
        <v>308.62652853544199</v>
      </c>
      <c r="X91" s="19">
        <f t="shared" si="23"/>
        <v>5.7321319003803106</v>
      </c>
      <c r="Y91" s="25"/>
      <c r="Z91" s="21"/>
      <c r="AA91" s="92"/>
      <c r="AB91" s="92"/>
      <c r="AC91" s="93"/>
    </row>
    <row r="92" spans="1:29" ht="15.6" thickTop="1" thickBot="1" x14ac:dyDescent="0.35">
      <c r="A92" s="90"/>
      <c r="B92" s="91">
        <v>2020</v>
      </c>
      <c r="C92" s="85">
        <v>162698</v>
      </c>
      <c r="D92" s="86">
        <v>7</v>
      </c>
      <c r="E92" s="19">
        <f t="shared" si="20"/>
        <v>4.3024499379217938</v>
      </c>
      <c r="F92" s="19">
        <f t="shared" si="21"/>
        <v>1.4591846134569662</v>
      </c>
      <c r="G92" s="25"/>
      <c r="H92" s="21"/>
      <c r="I92" s="92"/>
      <c r="J92" s="92"/>
      <c r="K92" s="93"/>
      <c r="L92" s="85">
        <v>105837</v>
      </c>
      <c r="M92" s="86">
        <v>50</v>
      </c>
      <c r="N92" s="19">
        <f t="shared" si="24"/>
        <v>47.24245774162155</v>
      </c>
      <c r="O92" s="19">
        <f t="shared" si="25"/>
        <v>3.8552930166824568</v>
      </c>
      <c r="P92" s="25"/>
      <c r="Q92" s="21"/>
      <c r="R92" s="92"/>
      <c r="S92" s="92"/>
      <c r="T92" s="93"/>
      <c r="U92" s="85">
        <v>61800</v>
      </c>
      <c r="V92" s="86">
        <v>215</v>
      </c>
      <c r="W92" s="19">
        <f t="shared" si="22"/>
        <v>347.89644012944984</v>
      </c>
      <c r="X92" s="19">
        <f t="shared" si="23"/>
        <v>5.8519048496521089</v>
      </c>
      <c r="Y92" s="25"/>
      <c r="Z92" s="21"/>
      <c r="AA92" s="92"/>
      <c r="AB92" s="92"/>
      <c r="AC92" s="93"/>
    </row>
    <row r="93" spans="1:29" ht="15.6" thickTop="1" thickBot="1" x14ac:dyDescent="0.35">
      <c r="A93" s="96"/>
      <c r="B93" s="91">
        <v>2021</v>
      </c>
      <c r="C93" s="85">
        <v>167466</v>
      </c>
      <c r="D93" s="86">
        <v>9</v>
      </c>
      <c r="E93" s="19">
        <f t="shared" si="20"/>
        <v>5.3742252158647128</v>
      </c>
      <c r="F93" s="19">
        <f t="shared" si="21"/>
        <v>1.681614417738075</v>
      </c>
      <c r="G93" s="34"/>
      <c r="H93" s="21"/>
      <c r="I93" s="97"/>
      <c r="J93" s="97"/>
      <c r="K93" s="98"/>
      <c r="L93" s="85">
        <v>108589</v>
      </c>
      <c r="M93" s="86">
        <v>56</v>
      </c>
      <c r="N93" s="19">
        <f t="shared" si="24"/>
        <v>51.570601073773588</v>
      </c>
      <c r="O93" s="19">
        <f t="shared" si="25"/>
        <v>3.9429517634879345</v>
      </c>
      <c r="P93" s="34"/>
      <c r="Q93" s="21"/>
      <c r="R93" s="97"/>
      <c r="S93" s="97"/>
      <c r="T93" s="98"/>
      <c r="U93" s="85">
        <v>63063</v>
      </c>
      <c r="V93" s="86">
        <v>271</v>
      </c>
      <c r="W93" s="19">
        <f t="shared" si="22"/>
        <v>429.72900115757261</v>
      </c>
      <c r="X93" s="19">
        <f t="shared" si="23"/>
        <v>6.0631547801431758</v>
      </c>
      <c r="Y93" s="34"/>
      <c r="Z93" s="21"/>
      <c r="AA93" s="97"/>
      <c r="AB93" s="97"/>
      <c r="AC93" s="98"/>
    </row>
    <row r="94" spans="1:29" ht="15.6" thickTop="1" thickBot="1" x14ac:dyDescent="0.35">
      <c r="A94" s="100" t="s">
        <v>298</v>
      </c>
      <c r="B94" s="101">
        <v>2016</v>
      </c>
      <c r="C94" s="101">
        <v>338949</v>
      </c>
      <c r="D94" s="102">
        <v>14</v>
      </c>
      <c r="E94" s="19">
        <f t="shared" si="20"/>
        <v>4.1304149001767225</v>
      </c>
      <c r="F94" s="19">
        <f t="shared" si="21"/>
        <v>1.4183778620183805</v>
      </c>
      <c r="G94" s="20">
        <v>2.06E-2</v>
      </c>
      <c r="H94" s="21">
        <f t="shared" ref="H94" si="38">(EXP(G94)-1)*100</f>
        <v>2.0813644503745898</v>
      </c>
      <c r="I94" s="87">
        <f>(EXP(-0.095) - 1) * 100</f>
        <v>-9.0627065531768576</v>
      </c>
      <c r="J94" s="87">
        <f>(EXP(0.136) - 1) * 100</f>
        <v>14.568189359486183</v>
      </c>
      <c r="K94" s="103">
        <v>0.64610000000000001</v>
      </c>
      <c r="L94" s="101">
        <v>201408</v>
      </c>
      <c r="M94" s="102">
        <v>78</v>
      </c>
      <c r="N94" s="19">
        <f t="shared" si="24"/>
        <v>38.727359389895142</v>
      </c>
      <c r="O94" s="19">
        <f t="shared" si="25"/>
        <v>3.6565463112357417</v>
      </c>
      <c r="P94" s="20">
        <v>5.7700000000000001E-2</v>
      </c>
      <c r="Q94" s="21">
        <f t="shared" ref="Q94" si="39">(EXP(P94)-1)*100</f>
        <v>5.9397128893980966</v>
      </c>
      <c r="R94" s="87">
        <f>(EXP(-0.027) - 1) * 100</f>
        <v>-2.6638758475663216</v>
      </c>
      <c r="S94" s="87">
        <f>(EXP(0.142) - 1) * 100</f>
        <v>15.257664853700504</v>
      </c>
      <c r="T94" s="103">
        <v>0.13070000000000001</v>
      </c>
      <c r="U94" s="101">
        <v>102784</v>
      </c>
      <c r="V94" s="102">
        <v>315</v>
      </c>
      <c r="W94" s="19">
        <f t="shared" si="22"/>
        <v>306.46793275217937</v>
      </c>
      <c r="X94" s="19">
        <f t="shared" si="23"/>
        <v>5.7251131259294832</v>
      </c>
      <c r="Y94" s="20">
        <v>6.7699999999999996E-2</v>
      </c>
      <c r="Z94" s="21">
        <f t="shared" ref="Z94" si="40">(EXP(Y94)-1)*100</f>
        <v>7.0044247047853281</v>
      </c>
      <c r="AA94" s="87">
        <f>(EXP(0.03) - 1) * 100</f>
        <v>3.0454533953516938</v>
      </c>
      <c r="AB94" s="87">
        <f>(EXP(0.106) - 1) * 100</f>
        <v>11.182187650653086</v>
      </c>
      <c r="AC94" s="103">
        <v>7.9000000000000008E-3</v>
      </c>
    </row>
    <row r="95" spans="1:29" ht="15.6" thickTop="1" thickBot="1" x14ac:dyDescent="0.35">
      <c r="A95" s="105"/>
      <c r="B95" s="101">
        <v>2017</v>
      </c>
      <c r="C95" s="101">
        <v>349096</v>
      </c>
      <c r="D95" s="102">
        <v>18</v>
      </c>
      <c r="E95" s="19">
        <f t="shared" si="20"/>
        <v>5.1561748057840822</v>
      </c>
      <c r="F95" s="19">
        <f t="shared" si="21"/>
        <v>1.6401949878738564</v>
      </c>
      <c r="G95" s="25"/>
      <c r="H95" s="21"/>
      <c r="I95" s="92"/>
      <c r="J95" s="92"/>
      <c r="K95" s="106"/>
      <c r="L95" s="101">
        <v>207383</v>
      </c>
      <c r="M95" s="102">
        <v>102</v>
      </c>
      <c r="N95" s="19">
        <f t="shared" si="24"/>
        <v>49.184359373719154</v>
      </c>
      <c r="O95" s="19">
        <f t="shared" si="25"/>
        <v>3.895575674049546</v>
      </c>
      <c r="P95" s="25"/>
      <c r="Q95" s="21"/>
      <c r="R95" s="92"/>
      <c r="S95" s="92"/>
      <c r="T95" s="106"/>
      <c r="U95" s="101">
        <v>106493</v>
      </c>
      <c r="V95" s="102">
        <v>373</v>
      </c>
      <c r="W95" s="19">
        <f t="shared" si="22"/>
        <v>350.25776342106991</v>
      </c>
      <c r="X95" s="19">
        <f t="shared" si="23"/>
        <v>5.8586693503421179</v>
      </c>
      <c r="Y95" s="25"/>
      <c r="Z95" s="21"/>
      <c r="AA95" s="92"/>
      <c r="AB95" s="92"/>
      <c r="AC95" s="106"/>
    </row>
    <row r="96" spans="1:29" ht="15.6" thickTop="1" thickBot="1" x14ac:dyDescent="0.35">
      <c r="A96" s="105"/>
      <c r="B96" s="101">
        <v>2018</v>
      </c>
      <c r="C96" s="101">
        <v>359594</v>
      </c>
      <c r="D96" s="102">
        <v>16</v>
      </c>
      <c r="E96" s="19">
        <f t="shared" si="20"/>
        <v>4.4494624493178421</v>
      </c>
      <c r="F96" s="19">
        <f t="shared" si="21"/>
        <v>1.4927832909753913</v>
      </c>
      <c r="G96" s="25"/>
      <c r="H96" s="21"/>
      <c r="I96" s="92"/>
      <c r="J96" s="92"/>
      <c r="K96" s="106"/>
      <c r="L96" s="101">
        <v>213855</v>
      </c>
      <c r="M96" s="102">
        <v>81</v>
      </c>
      <c r="N96" s="19">
        <f t="shared" si="24"/>
        <v>37.876131023356947</v>
      </c>
      <c r="O96" s="19">
        <f t="shared" si="25"/>
        <v>3.6343211253864962</v>
      </c>
      <c r="P96" s="25"/>
      <c r="Q96" s="21"/>
      <c r="R96" s="92"/>
      <c r="S96" s="92"/>
      <c r="T96" s="106"/>
      <c r="U96" s="101">
        <v>110791</v>
      </c>
      <c r="V96" s="102">
        <v>389</v>
      </c>
      <c r="W96" s="19">
        <f t="shared" si="22"/>
        <v>351.11155238241372</v>
      </c>
      <c r="X96" s="19">
        <f t="shared" si="23"/>
        <v>5.8611039860293044</v>
      </c>
      <c r="Y96" s="25"/>
      <c r="Z96" s="21"/>
      <c r="AA96" s="92"/>
      <c r="AB96" s="92"/>
      <c r="AC96" s="106"/>
    </row>
    <row r="97" spans="1:29" ht="15.6" thickTop="1" thickBot="1" x14ac:dyDescent="0.35">
      <c r="A97" s="105"/>
      <c r="B97" s="101">
        <v>2019</v>
      </c>
      <c r="C97" s="101">
        <v>370773</v>
      </c>
      <c r="D97" s="102">
        <v>23</v>
      </c>
      <c r="E97" s="19">
        <f t="shared" si="20"/>
        <v>6.2032564399241581</v>
      </c>
      <c r="F97" s="19">
        <f t="shared" si="21"/>
        <v>1.8250743864107013</v>
      </c>
      <c r="G97" s="25"/>
      <c r="H97" s="21"/>
      <c r="I97" s="92"/>
      <c r="J97" s="92"/>
      <c r="K97" s="106"/>
      <c r="L97" s="101">
        <v>220840</v>
      </c>
      <c r="M97" s="102">
        <v>99</v>
      </c>
      <c r="N97" s="19">
        <f t="shared" si="24"/>
        <v>44.828835355913782</v>
      </c>
      <c r="O97" s="19">
        <f t="shared" si="25"/>
        <v>3.8028515787068375</v>
      </c>
      <c r="P97" s="25"/>
      <c r="Q97" s="21"/>
      <c r="R97" s="92"/>
      <c r="S97" s="92"/>
      <c r="T97" s="106"/>
      <c r="U97" s="101">
        <v>115222</v>
      </c>
      <c r="V97" s="102">
        <v>408</v>
      </c>
      <c r="W97" s="19">
        <f t="shared" si="22"/>
        <v>354.09904358542639</v>
      </c>
      <c r="X97" s="19">
        <f t="shared" si="23"/>
        <v>5.8695766581411135</v>
      </c>
      <c r="Y97" s="25"/>
      <c r="Z97" s="21"/>
      <c r="AA97" s="92"/>
      <c r="AB97" s="92"/>
      <c r="AC97" s="106"/>
    </row>
    <row r="98" spans="1:29" ht="15.6" thickTop="1" thickBot="1" x14ac:dyDescent="0.35">
      <c r="A98" s="105"/>
      <c r="B98" s="101">
        <v>2020</v>
      </c>
      <c r="C98" s="101">
        <v>382265</v>
      </c>
      <c r="D98" s="102">
        <v>21</v>
      </c>
      <c r="E98" s="19">
        <f t="shared" si="20"/>
        <v>5.4935712136868409</v>
      </c>
      <c r="F98" s="19">
        <f t="shared" si="21"/>
        <v>1.7035785383380584</v>
      </c>
      <c r="G98" s="25"/>
      <c r="H98" s="21"/>
      <c r="I98" s="92"/>
      <c r="J98" s="92"/>
      <c r="K98" s="106"/>
      <c r="L98" s="101">
        <v>227818</v>
      </c>
      <c r="M98" s="102">
        <v>125</v>
      </c>
      <c r="N98" s="19">
        <f t="shared" si="24"/>
        <v>54.868359831093237</v>
      </c>
      <c r="O98" s="19">
        <f t="shared" si="25"/>
        <v>4.0049368587176648</v>
      </c>
      <c r="P98" s="25"/>
      <c r="Q98" s="21"/>
      <c r="R98" s="92"/>
      <c r="S98" s="92"/>
      <c r="T98" s="106"/>
      <c r="U98" s="101">
        <v>118722</v>
      </c>
      <c r="V98" s="102">
        <v>521</v>
      </c>
      <c r="W98" s="19">
        <f t="shared" si="22"/>
        <v>438.84031603241186</v>
      </c>
      <c r="X98" s="19">
        <f t="shared" si="23"/>
        <v>6.0841356021031006</v>
      </c>
      <c r="Y98" s="25"/>
      <c r="Z98" s="21"/>
      <c r="AA98" s="92"/>
      <c r="AB98" s="92"/>
      <c r="AC98" s="106"/>
    </row>
    <row r="99" spans="1:29" ht="15.6" thickTop="1" thickBot="1" x14ac:dyDescent="0.35">
      <c r="A99" s="108"/>
      <c r="B99" s="101">
        <v>2021</v>
      </c>
      <c r="C99" s="101">
        <v>393804</v>
      </c>
      <c r="D99" s="102">
        <v>17</v>
      </c>
      <c r="E99" s="19">
        <f t="shared" si="20"/>
        <v>4.3168682898091442</v>
      </c>
      <c r="F99" s="19">
        <f t="shared" si="21"/>
        <v>1.4625302064505439</v>
      </c>
      <c r="G99" s="34"/>
      <c r="H99" s="21"/>
      <c r="I99" s="97"/>
      <c r="J99" s="97"/>
      <c r="K99" s="109"/>
      <c r="L99" s="101">
        <v>234700</v>
      </c>
      <c r="M99" s="102">
        <v>124</v>
      </c>
      <c r="N99" s="19">
        <f t="shared" si="24"/>
        <v>52.833404345973577</v>
      </c>
      <c r="O99" s="19">
        <f t="shared" si="25"/>
        <v>3.9671436487361502</v>
      </c>
      <c r="P99" s="34"/>
      <c r="Q99" s="21"/>
      <c r="R99" s="97"/>
      <c r="S99" s="97"/>
      <c r="T99" s="109"/>
      <c r="U99" s="101">
        <v>121100</v>
      </c>
      <c r="V99" s="102">
        <v>524</v>
      </c>
      <c r="W99" s="19">
        <f t="shared" si="22"/>
        <v>432.70024772914945</v>
      </c>
      <c r="X99" s="19">
        <f t="shared" si="23"/>
        <v>6.0700452197500869</v>
      </c>
      <c r="Y99" s="34"/>
      <c r="Z99" s="21"/>
      <c r="AA99" s="97"/>
      <c r="AB99" s="97"/>
      <c r="AC99" s="109"/>
    </row>
    <row r="100" spans="1:29" ht="15.6" thickTop="1" thickBot="1" x14ac:dyDescent="0.35">
      <c r="A100" s="84" t="s">
        <v>299</v>
      </c>
      <c r="B100" s="85">
        <v>2016</v>
      </c>
      <c r="C100" s="85">
        <v>115809</v>
      </c>
      <c r="D100" s="86">
        <v>1</v>
      </c>
      <c r="E100" s="19">
        <f t="shared" si="20"/>
        <v>0.86349074769663836</v>
      </c>
      <c r="F100" s="19">
        <f t="shared" si="21"/>
        <v>-0.14677209633799865</v>
      </c>
      <c r="G100" s="20">
        <v>0.18029999999999999</v>
      </c>
      <c r="H100" s="21">
        <f t="shared" ref="H100" si="41">(EXP(G100)-1)*100</f>
        <v>19.757658221091589</v>
      </c>
      <c r="I100" s="87">
        <f>(EXP(-0.205) - 1) * 100</f>
        <v>-18.535268358858549</v>
      </c>
      <c r="J100" s="87">
        <f>(EXP(0.566) - 1) * 100</f>
        <v>76.120811052174275</v>
      </c>
      <c r="K100" s="88">
        <v>0.26400000000000001</v>
      </c>
      <c r="L100" s="85">
        <v>67924</v>
      </c>
      <c r="M100" s="86">
        <v>21</v>
      </c>
      <c r="N100" s="19">
        <f t="shared" si="24"/>
        <v>30.916907131499915</v>
      </c>
      <c r="O100" s="19">
        <f t="shared" si="25"/>
        <v>3.4313031906274598</v>
      </c>
      <c r="P100" s="20">
        <v>4.1700000000000001E-2</v>
      </c>
      <c r="Q100" s="21">
        <f t="shared" ref="Q100" si="42">(EXP(P100)-1)*100</f>
        <v>4.2581657332696921</v>
      </c>
      <c r="R100" s="87">
        <f>(EXP(-0.034) - 1) * 100</f>
        <v>-3.3428495362493371</v>
      </c>
      <c r="S100" s="87">
        <f>(EXP(0.118) - 1) * 100</f>
        <v>12.524411136734237</v>
      </c>
      <c r="T100" s="88">
        <v>0.20250000000000001</v>
      </c>
      <c r="U100" s="85">
        <v>36570</v>
      </c>
      <c r="V100" s="86">
        <v>70</v>
      </c>
      <c r="W100" s="19">
        <f t="shared" si="22"/>
        <v>191.41372709871479</v>
      </c>
      <c r="X100" s="19">
        <f t="shared" si="23"/>
        <v>5.2544371958761609</v>
      </c>
      <c r="Y100" s="20">
        <v>5.7099999999999998E-2</v>
      </c>
      <c r="Z100" s="21">
        <f t="shared" ref="Z100" si="43">(EXP(Y100)-1)*100</f>
        <v>5.8761681269995147</v>
      </c>
      <c r="AA100" s="87">
        <f>(EXP(-0.028) - 1) * 100</f>
        <v>-2.7611633198753149</v>
      </c>
      <c r="AB100" s="87">
        <f>(EXP(0.142) - 1) * 100</f>
        <v>15.257664853700504</v>
      </c>
      <c r="AC100" s="88">
        <v>0.1353</v>
      </c>
    </row>
    <row r="101" spans="1:29" ht="15.6" thickTop="1" thickBot="1" x14ac:dyDescent="0.35">
      <c r="A101" s="90"/>
      <c r="B101" s="91">
        <v>2017</v>
      </c>
      <c r="C101" s="85">
        <v>119379</v>
      </c>
      <c r="D101" s="86">
        <v>2</v>
      </c>
      <c r="E101" s="19">
        <f t="shared" si="20"/>
        <v>1.6753365332261116</v>
      </c>
      <c r="F101" s="19">
        <f t="shared" si="21"/>
        <v>0.51601406045511466</v>
      </c>
      <c r="G101" s="25"/>
      <c r="H101" s="21"/>
      <c r="I101" s="92"/>
      <c r="J101" s="92"/>
      <c r="K101" s="93"/>
      <c r="L101" s="85">
        <v>70321</v>
      </c>
      <c r="M101" s="86">
        <v>17</v>
      </c>
      <c r="N101" s="19">
        <f t="shared" si="24"/>
        <v>24.174855306380739</v>
      </c>
      <c r="O101" s="19">
        <f t="shared" si="25"/>
        <v>3.1853130560631522</v>
      </c>
      <c r="P101" s="25"/>
      <c r="Q101" s="21"/>
      <c r="R101" s="92"/>
      <c r="S101" s="92"/>
      <c r="T101" s="93"/>
      <c r="U101" s="85">
        <v>38254</v>
      </c>
      <c r="V101" s="86">
        <v>89</v>
      </c>
      <c r="W101" s="19">
        <f t="shared" si="22"/>
        <v>232.65540858472318</v>
      </c>
      <c r="X101" s="19">
        <f t="shared" si="23"/>
        <v>5.4495584257518885</v>
      </c>
      <c r="Y101" s="25"/>
      <c r="Z101" s="21"/>
      <c r="AA101" s="92"/>
      <c r="AB101" s="92"/>
      <c r="AC101" s="93"/>
    </row>
    <row r="102" spans="1:29" ht="15.6" thickTop="1" thickBot="1" x14ac:dyDescent="0.35">
      <c r="A102" s="90"/>
      <c r="B102" s="91">
        <v>2018</v>
      </c>
      <c r="C102" s="85">
        <v>122948</v>
      </c>
      <c r="D102" s="86">
        <v>4</v>
      </c>
      <c r="E102" s="19">
        <f t="shared" si="20"/>
        <v>3.2534079448222011</v>
      </c>
      <c r="F102" s="19">
        <f t="shared" si="21"/>
        <v>1.1797030453531976</v>
      </c>
      <c r="G102" s="25"/>
      <c r="H102" s="21"/>
      <c r="I102" s="92"/>
      <c r="J102" s="92"/>
      <c r="K102" s="93"/>
      <c r="L102" s="85">
        <v>72890</v>
      </c>
      <c r="M102" s="86">
        <v>20</v>
      </c>
      <c r="N102" s="19">
        <f t="shared" si="24"/>
        <v>27.438606118809165</v>
      </c>
      <c r="O102" s="19">
        <f t="shared" si="25"/>
        <v>3.3119510041479607</v>
      </c>
      <c r="P102" s="25"/>
      <c r="Q102" s="21"/>
      <c r="R102" s="92"/>
      <c r="S102" s="92"/>
      <c r="T102" s="93"/>
      <c r="U102" s="85">
        <v>39964</v>
      </c>
      <c r="V102" s="86">
        <v>74</v>
      </c>
      <c r="W102" s="19">
        <f t="shared" si="22"/>
        <v>185.16664998498649</v>
      </c>
      <c r="X102" s="19">
        <f t="shared" si="23"/>
        <v>5.2212562303214893</v>
      </c>
      <c r="Y102" s="25"/>
      <c r="Z102" s="21"/>
      <c r="AA102" s="92"/>
      <c r="AB102" s="92"/>
      <c r="AC102" s="93"/>
    </row>
    <row r="103" spans="1:29" ht="15.6" thickTop="1" thickBot="1" x14ac:dyDescent="0.35">
      <c r="A103" s="90"/>
      <c r="B103" s="91">
        <v>2019</v>
      </c>
      <c r="C103" s="85">
        <v>126651</v>
      </c>
      <c r="D103" s="86">
        <v>6</v>
      </c>
      <c r="E103" s="19">
        <f t="shared" si="20"/>
        <v>4.7374280503114861</v>
      </c>
      <c r="F103" s="19">
        <f t="shared" si="21"/>
        <v>1.5554943830238737</v>
      </c>
      <c r="G103" s="25"/>
      <c r="H103" s="21"/>
      <c r="I103" s="92"/>
      <c r="J103" s="92"/>
      <c r="K103" s="93"/>
      <c r="L103" s="85">
        <v>75628</v>
      </c>
      <c r="M103" s="86">
        <v>22</v>
      </c>
      <c r="N103" s="19">
        <f t="shared" si="24"/>
        <v>29.089755117152375</v>
      </c>
      <c r="O103" s="19">
        <f t="shared" si="25"/>
        <v>3.3703860543607247</v>
      </c>
      <c r="P103" s="25"/>
      <c r="Q103" s="21"/>
      <c r="R103" s="92"/>
      <c r="S103" s="92"/>
      <c r="T103" s="93"/>
      <c r="U103" s="85">
        <v>41613</v>
      </c>
      <c r="V103" s="86">
        <v>111</v>
      </c>
      <c r="W103" s="19">
        <f t="shared" si="22"/>
        <v>266.74356571263786</v>
      </c>
      <c r="X103" s="19">
        <f t="shared" si="23"/>
        <v>5.5862877688511627</v>
      </c>
      <c r="Y103" s="25"/>
      <c r="Z103" s="21"/>
      <c r="AA103" s="92"/>
      <c r="AB103" s="92"/>
      <c r="AC103" s="93"/>
    </row>
    <row r="104" spans="1:29" ht="15.6" thickTop="1" thickBot="1" x14ac:dyDescent="0.35">
      <c r="A104" s="90"/>
      <c r="B104" s="91">
        <v>2020</v>
      </c>
      <c r="C104" s="85">
        <v>130556</v>
      </c>
      <c r="D104" s="86">
        <v>2</v>
      </c>
      <c r="E104" s="19">
        <f t="shared" si="20"/>
        <v>1.5319096786053492</v>
      </c>
      <c r="F104" s="19">
        <f t="shared" si="21"/>
        <v>0.42651511305647188</v>
      </c>
      <c r="G104" s="25"/>
      <c r="H104" s="21"/>
      <c r="I104" s="92"/>
      <c r="J104" s="92"/>
      <c r="K104" s="93"/>
      <c r="L104" s="85">
        <v>78464</v>
      </c>
      <c r="M104" s="86">
        <v>27</v>
      </c>
      <c r="N104" s="19">
        <f t="shared" si="24"/>
        <v>34.410685154975532</v>
      </c>
      <c r="O104" s="19">
        <f t="shared" si="25"/>
        <v>3.5383671311187288</v>
      </c>
      <c r="P104" s="25"/>
      <c r="Q104" s="21"/>
      <c r="R104" s="92"/>
      <c r="S104" s="92"/>
      <c r="T104" s="93"/>
      <c r="U104" s="85">
        <v>43033</v>
      </c>
      <c r="V104" s="86">
        <v>101</v>
      </c>
      <c r="W104" s="19">
        <f t="shared" si="22"/>
        <v>234.70359956312598</v>
      </c>
      <c r="X104" s="19">
        <f t="shared" si="23"/>
        <v>5.4583234396082485</v>
      </c>
      <c r="Y104" s="25"/>
      <c r="Z104" s="21"/>
      <c r="AA104" s="92"/>
      <c r="AB104" s="92"/>
      <c r="AC104" s="93"/>
    </row>
    <row r="105" spans="1:29" ht="15.6" thickTop="1" thickBot="1" x14ac:dyDescent="0.35">
      <c r="A105" s="96"/>
      <c r="B105" s="91">
        <v>2021</v>
      </c>
      <c r="C105" s="85">
        <v>134571</v>
      </c>
      <c r="D105" s="86">
        <v>4</v>
      </c>
      <c r="E105" s="19">
        <f t="shared" si="20"/>
        <v>2.9724086170125807</v>
      </c>
      <c r="F105" s="19">
        <f t="shared" si="21"/>
        <v>1.0893726063053792</v>
      </c>
      <c r="G105" s="34"/>
      <c r="H105" s="21"/>
      <c r="I105" s="97"/>
      <c r="J105" s="97"/>
      <c r="K105" s="98"/>
      <c r="L105" s="85">
        <v>81348</v>
      </c>
      <c r="M105" s="86">
        <v>27</v>
      </c>
      <c r="N105" s="19">
        <f t="shared" si="24"/>
        <v>33.190736096769434</v>
      </c>
      <c r="O105" s="19">
        <f t="shared" si="25"/>
        <v>3.5022708037555916</v>
      </c>
      <c r="P105" s="34"/>
      <c r="Q105" s="21"/>
      <c r="R105" s="97"/>
      <c r="S105" s="97"/>
      <c r="T105" s="98"/>
      <c r="U105" s="85">
        <v>44124</v>
      </c>
      <c r="V105" s="86">
        <v>116</v>
      </c>
      <c r="W105" s="19">
        <f t="shared" si="22"/>
        <v>262.89547638473391</v>
      </c>
      <c r="X105" s="19">
        <f t="shared" si="23"/>
        <v>5.5717565249873209</v>
      </c>
      <c r="Y105" s="34"/>
      <c r="Z105" s="21"/>
      <c r="AA105" s="97"/>
      <c r="AB105" s="97"/>
      <c r="AC105" s="98"/>
    </row>
    <row r="106" spans="1:29" ht="15.6" thickTop="1" thickBot="1" x14ac:dyDescent="0.35">
      <c r="A106" s="100" t="s">
        <v>300</v>
      </c>
      <c r="B106" s="101">
        <v>2016</v>
      </c>
      <c r="C106" s="101">
        <v>117458</v>
      </c>
      <c r="D106" s="102">
        <v>4</v>
      </c>
      <c r="E106" s="19">
        <f t="shared" si="20"/>
        <v>3.4054725944592961</v>
      </c>
      <c r="F106" s="19">
        <f t="shared" si="21"/>
        <v>1.225383724231617</v>
      </c>
      <c r="G106" s="20">
        <v>-3.3999999999999998E-3</v>
      </c>
      <c r="H106" s="21">
        <f t="shared" ref="H106" si="44">(EXP(G106)-1)*100</f>
        <v>-0.33942265451023523</v>
      </c>
      <c r="I106" s="87">
        <f>(EXP(-0.374) - 1) * 100</f>
        <v>-31.202308817102054</v>
      </c>
      <c r="J106" s="87">
        <f>(EXP(0.367) - 1) * 100</f>
        <v>44.339791911517779</v>
      </c>
      <c r="K106" s="103">
        <v>0.98070000000000002</v>
      </c>
      <c r="L106" s="101">
        <v>71715</v>
      </c>
      <c r="M106" s="102">
        <v>29</v>
      </c>
      <c r="N106" s="19">
        <f t="shared" si="24"/>
        <v>40.437844244579232</v>
      </c>
      <c r="O106" s="19">
        <f t="shared" si="25"/>
        <v>3.6997660852283887</v>
      </c>
      <c r="P106" s="20">
        <v>3.1699999999999999E-2</v>
      </c>
      <c r="Q106" s="21">
        <f t="shared" ref="Q106" si="45">(EXP(P106)-1)*100</f>
        <v>3.2207796512168541</v>
      </c>
      <c r="R106" s="87">
        <f>(EXP(-0.047) - 1) * 100</f>
        <v>-4.5912602409628906</v>
      </c>
      <c r="S106" s="87">
        <f>(EXP(0.111) - 1) * 100</f>
        <v>11.739490685445819</v>
      </c>
      <c r="T106" s="103">
        <v>0.32850000000000001</v>
      </c>
      <c r="U106" s="101">
        <v>40947</v>
      </c>
      <c r="V106" s="102">
        <v>158</v>
      </c>
      <c r="W106" s="19">
        <f t="shared" si="22"/>
        <v>385.86465430922902</v>
      </c>
      <c r="X106" s="19">
        <f t="shared" si="23"/>
        <v>5.9554866714728902</v>
      </c>
      <c r="Y106" s="20">
        <v>7.7000000000000002E-3</v>
      </c>
      <c r="Z106" s="21">
        <f t="shared" ref="Z106" si="46">(EXP(Y106)-1)*100</f>
        <v>0.77297212355302847</v>
      </c>
      <c r="AA106" s="87">
        <f>(EXP(-0.051) - 1) * 100</f>
        <v>-4.9721329467573021</v>
      </c>
      <c r="AB106" s="87">
        <f>(EXP(0.066) - 1) * 100</f>
        <v>6.8226717165993378</v>
      </c>
      <c r="AC106" s="103">
        <v>0.73370000000000002</v>
      </c>
    </row>
    <row r="107" spans="1:29" ht="15.6" thickTop="1" thickBot="1" x14ac:dyDescent="0.35">
      <c r="A107" s="105"/>
      <c r="B107" s="101">
        <v>2017</v>
      </c>
      <c r="C107" s="101">
        <v>120583</v>
      </c>
      <c r="D107" s="102">
        <v>3</v>
      </c>
      <c r="E107" s="19">
        <f t="shared" si="20"/>
        <v>2.4879128898766822</v>
      </c>
      <c r="F107" s="19">
        <f t="shared" si="21"/>
        <v>0.911444162156552</v>
      </c>
      <c r="G107" s="25"/>
      <c r="H107" s="21"/>
      <c r="I107" s="92"/>
      <c r="J107" s="92"/>
      <c r="K107" s="106"/>
      <c r="L107" s="101">
        <v>74161</v>
      </c>
      <c r="M107" s="102">
        <v>34</v>
      </c>
      <c r="N107" s="19">
        <f t="shared" si="24"/>
        <v>45.84619948490446</v>
      </c>
      <c r="O107" s="19">
        <f t="shared" si="25"/>
        <v>3.8252923050794214</v>
      </c>
      <c r="P107" s="25"/>
      <c r="Q107" s="21"/>
      <c r="R107" s="92"/>
      <c r="S107" s="92"/>
      <c r="T107" s="106"/>
      <c r="U107" s="101">
        <v>42489</v>
      </c>
      <c r="V107" s="102">
        <v>193</v>
      </c>
      <c r="W107" s="19">
        <f t="shared" si="22"/>
        <v>454.23521382004759</v>
      </c>
      <c r="X107" s="19">
        <f t="shared" si="23"/>
        <v>6.1186151559926083</v>
      </c>
      <c r="Y107" s="25"/>
      <c r="Z107" s="21"/>
      <c r="AA107" s="92"/>
      <c r="AB107" s="92"/>
      <c r="AC107" s="106"/>
    </row>
    <row r="108" spans="1:29" ht="15.6" thickTop="1" thickBot="1" x14ac:dyDescent="0.35">
      <c r="A108" s="105"/>
      <c r="B108" s="101">
        <v>2018</v>
      </c>
      <c r="C108" s="101">
        <v>123919</v>
      </c>
      <c r="D108" s="102">
        <v>9</v>
      </c>
      <c r="E108" s="19">
        <f t="shared" si="20"/>
        <v>7.262808770245079</v>
      </c>
      <c r="F108" s="19">
        <f t="shared" si="21"/>
        <v>1.9827666369706594</v>
      </c>
      <c r="G108" s="25"/>
      <c r="H108" s="21"/>
      <c r="I108" s="92"/>
      <c r="J108" s="92"/>
      <c r="K108" s="106"/>
      <c r="L108" s="101">
        <v>76716</v>
      </c>
      <c r="M108" s="102">
        <v>30</v>
      </c>
      <c r="N108" s="19">
        <f t="shared" si="24"/>
        <v>39.105271390583447</v>
      </c>
      <c r="O108" s="19">
        <f t="shared" si="25"/>
        <v>3.6662572760776566</v>
      </c>
      <c r="P108" s="25"/>
      <c r="Q108" s="21"/>
      <c r="R108" s="92"/>
      <c r="S108" s="92"/>
      <c r="T108" s="106"/>
      <c r="U108" s="101">
        <v>44149</v>
      </c>
      <c r="V108" s="102">
        <v>160</v>
      </c>
      <c r="W108" s="19">
        <f t="shared" si="22"/>
        <v>362.40911458923193</v>
      </c>
      <c r="X108" s="19">
        <f t="shared" si="23"/>
        <v>5.8927737244850906</v>
      </c>
      <c r="Y108" s="25"/>
      <c r="Z108" s="21"/>
      <c r="AA108" s="92"/>
      <c r="AB108" s="92"/>
      <c r="AC108" s="106"/>
    </row>
    <row r="109" spans="1:29" ht="15.6" thickTop="1" thickBot="1" x14ac:dyDescent="0.35">
      <c r="A109" s="105"/>
      <c r="B109" s="101">
        <v>2019</v>
      </c>
      <c r="C109" s="101">
        <v>127806</v>
      </c>
      <c r="D109" s="102">
        <v>8</v>
      </c>
      <c r="E109" s="19">
        <f t="shared" si="20"/>
        <v>6.2594870350374787</v>
      </c>
      <c r="F109" s="19">
        <f t="shared" si="21"/>
        <v>1.8340982384697249</v>
      </c>
      <c r="G109" s="25"/>
      <c r="H109" s="21"/>
      <c r="I109" s="92"/>
      <c r="J109" s="92"/>
      <c r="K109" s="106"/>
      <c r="L109" s="101">
        <v>79344</v>
      </c>
      <c r="M109" s="102">
        <v>40</v>
      </c>
      <c r="N109" s="19">
        <f t="shared" si="24"/>
        <v>50.413389796329902</v>
      </c>
      <c r="O109" s="19">
        <f t="shared" si="25"/>
        <v>3.9202568103552498</v>
      </c>
      <c r="P109" s="25"/>
      <c r="Q109" s="21"/>
      <c r="R109" s="92"/>
      <c r="S109" s="92"/>
      <c r="T109" s="106"/>
      <c r="U109" s="101">
        <v>45687</v>
      </c>
      <c r="V109" s="102">
        <v>196</v>
      </c>
      <c r="W109" s="19">
        <f t="shared" si="22"/>
        <v>429.00606299384947</v>
      </c>
      <c r="X109" s="19">
        <f t="shared" si="23"/>
        <v>6.0614710516809449</v>
      </c>
      <c r="Y109" s="25"/>
      <c r="Z109" s="21"/>
      <c r="AA109" s="92"/>
      <c r="AB109" s="92"/>
      <c r="AC109" s="106"/>
    </row>
    <row r="110" spans="1:29" ht="15.6" thickTop="1" thickBot="1" x14ac:dyDescent="0.35">
      <c r="A110" s="105"/>
      <c r="B110" s="101">
        <v>2020</v>
      </c>
      <c r="C110" s="101">
        <v>132408</v>
      </c>
      <c r="D110" s="102">
        <v>7</v>
      </c>
      <c r="E110" s="19">
        <f t="shared" si="20"/>
        <v>5.2866896260044705</v>
      </c>
      <c r="F110" s="19">
        <f t="shared" si="21"/>
        <v>1.6651922704051652</v>
      </c>
      <c r="G110" s="25"/>
      <c r="H110" s="21"/>
      <c r="I110" s="92"/>
      <c r="J110" s="92"/>
      <c r="K110" s="106"/>
      <c r="L110" s="101">
        <v>81936</v>
      </c>
      <c r="M110" s="102">
        <v>33</v>
      </c>
      <c r="N110" s="19">
        <f t="shared" si="24"/>
        <v>40.275336848271827</v>
      </c>
      <c r="O110" s="19">
        <f t="shared" si="25"/>
        <v>3.6957392927343773</v>
      </c>
      <c r="P110" s="25"/>
      <c r="Q110" s="21"/>
      <c r="R110" s="92"/>
      <c r="S110" s="92"/>
      <c r="T110" s="106"/>
      <c r="U110" s="101">
        <v>46969</v>
      </c>
      <c r="V110" s="102">
        <v>193</v>
      </c>
      <c r="W110" s="19">
        <f t="shared" si="22"/>
        <v>410.90932317060191</v>
      </c>
      <c r="X110" s="19">
        <f t="shared" si="23"/>
        <v>6.0183725652659374</v>
      </c>
      <c r="Y110" s="25"/>
      <c r="Z110" s="21"/>
      <c r="AA110" s="92"/>
      <c r="AB110" s="92"/>
      <c r="AC110" s="106"/>
    </row>
    <row r="111" spans="1:29" ht="15.6" thickTop="1" thickBot="1" x14ac:dyDescent="0.35">
      <c r="A111" s="108"/>
      <c r="B111" s="101">
        <v>2021</v>
      </c>
      <c r="C111" s="101">
        <v>137636</v>
      </c>
      <c r="D111" s="102">
        <v>3</v>
      </c>
      <c r="E111" s="19">
        <f t="shared" si="20"/>
        <v>2.1796622976546836</v>
      </c>
      <c r="F111" s="19">
        <f t="shared" si="21"/>
        <v>0.77916995546859369</v>
      </c>
      <c r="G111" s="34"/>
      <c r="H111" s="21"/>
      <c r="I111" s="97"/>
      <c r="J111" s="97"/>
      <c r="K111" s="109"/>
      <c r="L111" s="101">
        <v>84458</v>
      </c>
      <c r="M111" s="102">
        <v>44</v>
      </c>
      <c r="N111" s="19">
        <f t="shared" si="24"/>
        <v>52.096900234436049</v>
      </c>
      <c r="O111" s="19">
        <f t="shared" si="25"/>
        <v>3.9531054505293759</v>
      </c>
      <c r="P111" s="34"/>
      <c r="Q111" s="21"/>
      <c r="R111" s="97"/>
      <c r="S111" s="97"/>
      <c r="T111" s="109"/>
      <c r="U111" s="101">
        <v>47888</v>
      </c>
      <c r="V111" s="102">
        <v>202</v>
      </c>
      <c r="W111" s="19">
        <f t="shared" si="22"/>
        <v>421.81757434012695</v>
      </c>
      <c r="X111" s="19">
        <f t="shared" si="23"/>
        <v>6.0445729322789532</v>
      </c>
      <c r="Y111" s="34"/>
      <c r="Z111" s="21"/>
      <c r="AA111" s="97"/>
      <c r="AB111" s="97"/>
      <c r="AC111" s="109"/>
    </row>
    <row r="112" spans="1:29" ht="15.6" thickTop="1" thickBot="1" x14ac:dyDescent="0.35">
      <c r="A112" s="84" t="s">
        <v>304</v>
      </c>
      <c r="B112" s="85">
        <v>2016</v>
      </c>
      <c r="C112" s="85">
        <v>70334</v>
      </c>
      <c r="D112" s="86">
        <v>2</v>
      </c>
      <c r="E112" s="19">
        <f t="shared" si="20"/>
        <v>2.8435749424176073</v>
      </c>
      <c r="F112" s="19">
        <f t="shared" si="21"/>
        <v>1.0450620431120163</v>
      </c>
      <c r="G112" s="20">
        <v>0.2137</v>
      </c>
      <c r="H112" s="21">
        <f t="shared" ref="H112" si="47">(EXP(G112)-1)*100</f>
        <v>23.825112372946023</v>
      </c>
      <c r="I112" s="87">
        <f>(EXP(-0.161) - 1) * 100</f>
        <v>-14.870792889284889</v>
      </c>
      <c r="J112" s="87">
        <f>(EXP(0.589) - 1) * 100</f>
        <v>80.218532867607721</v>
      </c>
      <c r="K112" s="88">
        <v>0.18870000000000001</v>
      </c>
      <c r="L112" s="85">
        <v>39465</v>
      </c>
      <c r="M112" s="86">
        <v>14</v>
      </c>
      <c r="N112" s="19">
        <f t="shared" si="24"/>
        <v>35.47447105029773</v>
      </c>
      <c r="O112" s="19">
        <f t="shared" si="25"/>
        <v>3.5688133124429844</v>
      </c>
      <c r="P112" s="20">
        <v>1.49E-2</v>
      </c>
      <c r="Q112" s="21">
        <f>(EXP(P112)-1)*100</f>
        <v>1.5011558384653512</v>
      </c>
      <c r="R112" s="87">
        <f>(EXP(-0.106) - 1) * 100</f>
        <v>-10.057535192407595</v>
      </c>
      <c r="S112" s="87">
        <f>(EXP(0.136) - 1) * 100</f>
        <v>14.568189359486183</v>
      </c>
      <c r="T112" s="88">
        <v>0.751</v>
      </c>
      <c r="U112" s="85">
        <v>20812</v>
      </c>
      <c r="V112" s="86">
        <v>58</v>
      </c>
      <c r="W112" s="19">
        <f t="shared" si="22"/>
        <v>278.68537382279453</v>
      </c>
      <c r="X112" s="19">
        <f t="shared" si="23"/>
        <v>5.6300834531064536</v>
      </c>
      <c r="Y112" s="20">
        <v>8.5400000000000004E-2</v>
      </c>
      <c r="Z112" s="21">
        <f t="shared" ref="Z112" si="48">(EXP(Y112)-1)*100</f>
        <v>8.915264063405747</v>
      </c>
      <c r="AA112" s="87">
        <f>(EXP(0.019) - 1) * 100</f>
        <v>1.918164861740812</v>
      </c>
      <c r="AB112" s="87">
        <f>(EXP(0.152) - 1) * 100</f>
        <v>16.41602364321124</v>
      </c>
      <c r="AC112" s="88">
        <v>2.3199999999999998E-2</v>
      </c>
    </row>
    <row r="113" spans="1:137" ht="15.6" thickTop="1" thickBot="1" x14ac:dyDescent="0.35">
      <c r="A113" s="90"/>
      <c r="B113" s="91">
        <v>2017</v>
      </c>
      <c r="C113" s="85">
        <v>73013</v>
      </c>
      <c r="D113" s="86">
        <v>1</v>
      </c>
      <c r="E113" s="19">
        <f>(D113/C113)*100000</f>
        <v>1.3696191089258076</v>
      </c>
      <c r="F113" s="19">
        <f>LN(E113)</f>
        <v>0.31453267850267058</v>
      </c>
      <c r="G113" s="25"/>
      <c r="H113" s="21"/>
      <c r="I113" s="92"/>
      <c r="J113" s="92"/>
      <c r="K113" s="93"/>
      <c r="L113" s="85">
        <v>41050</v>
      </c>
      <c r="M113" s="86">
        <v>11</v>
      </c>
      <c r="N113" s="19">
        <f t="shared" si="24"/>
        <v>26.796589524969551</v>
      </c>
      <c r="O113" s="19">
        <f t="shared" si="25"/>
        <v>3.2882746228880246</v>
      </c>
      <c r="P113" s="25"/>
      <c r="Q113" s="21"/>
      <c r="R113" s="92"/>
      <c r="S113" s="92"/>
      <c r="T113" s="93"/>
      <c r="U113" s="85">
        <v>21528</v>
      </c>
      <c r="V113" s="86">
        <v>79</v>
      </c>
      <c r="W113" s="19">
        <f t="shared" si="22"/>
        <v>366.96395392047566</v>
      </c>
      <c r="X113" s="19">
        <f t="shared" si="23"/>
        <v>5.9052636250305079</v>
      </c>
      <c r="Y113" s="25"/>
      <c r="Z113" s="21"/>
      <c r="AA113" s="92"/>
      <c r="AB113" s="92"/>
      <c r="AC113" s="93"/>
    </row>
    <row r="114" spans="1:137" ht="15.6" thickTop="1" thickBot="1" x14ac:dyDescent="0.35">
      <c r="A114" s="90"/>
      <c r="B114" s="91">
        <v>2018</v>
      </c>
      <c r="C114" s="85">
        <v>75753</v>
      </c>
      <c r="D114" s="86">
        <v>5</v>
      </c>
      <c r="E114" s="19">
        <f t="shared" si="20"/>
        <v>6.60039866407931</v>
      </c>
      <c r="F114" s="19">
        <f t="shared" si="21"/>
        <v>1.8871300508565332</v>
      </c>
      <c r="G114" s="25"/>
      <c r="H114" s="21"/>
      <c r="I114" s="92"/>
      <c r="J114" s="92"/>
      <c r="K114" s="93"/>
      <c r="L114" s="85">
        <v>42773</v>
      </c>
      <c r="M114" s="86">
        <v>19</v>
      </c>
      <c r="N114" s="19">
        <f t="shared" si="24"/>
        <v>44.420545671334722</v>
      </c>
      <c r="O114" s="19">
        <f t="shared" si="25"/>
        <v>3.7937021027522593</v>
      </c>
      <c r="P114" s="25"/>
      <c r="Q114" s="21"/>
      <c r="R114" s="92"/>
      <c r="S114" s="92"/>
      <c r="T114" s="93"/>
      <c r="U114" s="85">
        <v>22337</v>
      </c>
      <c r="V114" s="86">
        <v>69</v>
      </c>
      <c r="W114" s="19">
        <f t="shared" si="22"/>
        <v>308.90450821506914</v>
      </c>
      <c r="X114" s="19">
        <f t="shared" si="23"/>
        <v>5.7330321942339308</v>
      </c>
      <c r="Y114" s="25"/>
      <c r="Z114" s="21"/>
      <c r="AA114" s="92"/>
      <c r="AB114" s="92"/>
      <c r="AC114" s="93"/>
    </row>
    <row r="115" spans="1:137" ht="15.6" thickTop="1" thickBot="1" x14ac:dyDescent="0.35">
      <c r="A115" s="90"/>
      <c r="B115" s="91">
        <v>2019</v>
      </c>
      <c r="C115" s="85">
        <v>78653</v>
      </c>
      <c r="D115" s="86">
        <v>5</v>
      </c>
      <c r="E115" s="19">
        <f t="shared" si="20"/>
        <v>6.3570366038167645</v>
      </c>
      <c r="F115" s="19">
        <f t="shared" si="21"/>
        <v>1.8495623259708489</v>
      </c>
      <c r="G115" s="25"/>
      <c r="H115" s="21"/>
      <c r="I115" s="92"/>
      <c r="J115" s="92"/>
      <c r="K115" s="93"/>
      <c r="L115" s="85">
        <v>44614</v>
      </c>
      <c r="M115" s="86">
        <v>15</v>
      </c>
      <c r="N115" s="19">
        <f t="shared" si="24"/>
        <v>33.621733088268257</v>
      </c>
      <c r="O115" s="19">
        <f t="shared" si="25"/>
        <v>3.5151726759757111</v>
      </c>
      <c r="P115" s="25"/>
      <c r="Q115" s="21"/>
      <c r="R115" s="92"/>
      <c r="S115" s="92"/>
      <c r="T115" s="93"/>
      <c r="U115" s="85">
        <v>23170</v>
      </c>
      <c r="V115" s="86">
        <v>87</v>
      </c>
      <c r="W115" s="19">
        <f t="shared" si="22"/>
        <v>375.48554164868364</v>
      </c>
      <c r="X115" s="19">
        <f t="shared" si="23"/>
        <v>5.9282199661983901</v>
      </c>
      <c r="Y115" s="25"/>
      <c r="Z115" s="21"/>
      <c r="AA115" s="92"/>
      <c r="AB115" s="92"/>
      <c r="AC115" s="93"/>
    </row>
    <row r="116" spans="1:137" ht="15.6" thickTop="1" thickBot="1" x14ac:dyDescent="0.35">
      <c r="A116" s="90"/>
      <c r="B116" s="91">
        <v>2020</v>
      </c>
      <c r="C116" s="85">
        <v>81704</v>
      </c>
      <c r="D116" s="86">
        <v>3</v>
      </c>
      <c r="E116" s="19">
        <f t="shared" si="20"/>
        <v>3.6717908547929112</v>
      </c>
      <c r="F116" s="19">
        <f t="shared" si="21"/>
        <v>1.3006795143804033</v>
      </c>
      <c r="G116" s="25"/>
      <c r="H116" s="21"/>
      <c r="I116" s="92"/>
      <c r="J116" s="92"/>
      <c r="K116" s="93"/>
      <c r="L116" s="85">
        <v>46506</v>
      </c>
      <c r="M116" s="86">
        <v>15</v>
      </c>
      <c r="N116" s="19">
        <f t="shared" si="24"/>
        <v>32.253902722229391</v>
      </c>
      <c r="O116" s="19">
        <f t="shared" si="25"/>
        <v>3.473639050562872</v>
      </c>
      <c r="P116" s="25"/>
      <c r="Q116" s="21"/>
      <c r="R116" s="92"/>
      <c r="S116" s="92"/>
      <c r="T116" s="93"/>
      <c r="U116" s="85">
        <v>23941</v>
      </c>
      <c r="V116" s="86">
        <v>96</v>
      </c>
      <c r="W116" s="19">
        <f t="shared" si="22"/>
        <v>400.9857566517689</v>
      </c>
      <c r="X116" s="19">
        <f t="shared" si="23"/>
        <v>5.993925907104086</v>
      </c>
      <c r="Y116" s="25"/>
      <c r="Z116" s="21"/>
      <c r="AA116" s="92"/>
      <c r="AB116" s="92"/>
      <c r="AC116" s="93"/>
    </row>
    <row r="117" spans="1:137" ht="15.6" thickTop="1" thickBot="1" x14ac:dyDescent="0.35">
      <c r="A117" s="96"/>
      <c r="B117" s="91">
        <v>2021</v>
      </c>
      <c r="C117" s="85">
        <v>84885</v>
      </c>
      <c r="D117" s="86">
        <v>6</v>
      </c>
      <c r="E117" s="19">
        <f t="shared" si="20"/>
        <v>7.0683866407492486</v>
      </c>
      <c r="F117" s="19">
        <f t="shared" si="21"/>
        <v>1.9556322559535495</v>
      </c>
      <c r="G117" s="34"/>
      <c r="H117" s="21"/>
      <c r="I117" s="97"/>
      <c r="J117" s="97"/>
      <c r="K117" s="98"/>
      <c r="L117" s="85">
        <v>48446</v>
      </c>
      <c r="M117" s="86">
        <v>18</v>
      </c>
      <c r="N117" s="19">
        <f t="shared" si="24"/>
        <v>37.154770259670563</v>
      </c>
      <c r="O117" s="19">
        <f t="shared" si="25"/>
        <v>3.6150921682952162</v>
      </c>
      <c r="P117" s="34"/>
      <c r="Q117" s="21"/>
      <c r="R117" s="97"/>
      <c r="S117" s="97"/>
      <c r="T117" s="98"/>
      <c r="U117" s="85">
        <v>24643</v>
      </c>
      <c r="V117" s="86">
        <v>114</v>
      </c>
      <c r="W117" s="19">
        <f t="shared" si="22"/>
        <v>462.60601387818042</v>
      </c>
      <c r="X117" s="19">
        <f t="shared" si="23"/>
        <v>6.1368757498818391</v>
      </c>
      <c r="Y117" s="34"/>
      <c r="Z117" s="21"/>
      <c r="AA117" s="97"/>
      <c r="AB117" s="97"/>
      <c r="AC117" s="98"/>
    </row>
    <row r="119" spans="1:137" x14ac:dyDescent="0.3">
      <c r="G119" s="15"/>
      <c r="P119" s="15"/>
      <c r="Y119" s="15"/>
    </row>
    <row r="121" spans="1:137" ht="15" thickBot="1" x14ac:dyDescent="0.35"/>
    <row r="122" spans="1:137" ht="15" thickBot="1" x14ac:dyDescent="0.35">
      <c r="A122" s="112"/>
      <c r="B122" s="113"/>
      <c r="C122" s="114" t="s">
        <v>508</v>
      </c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6"/>
    </row>
    <row r="123" spans="1:137" ht="15" thickBot="1" x14ac:dyDescent="0.35">
      <c r="A123" s="117" t="s">
        <v>0</v>
      </c>
      <c r="B123" s="118"/>
      <c r="C123" s="1" t="s">
        <v>336</v>
      </c>
      <c r="D123" s="3"/>
      <c r="E123" s="3"/>
      <c r="F123" s="3"/>
      <c r="G123" s="3"/>
      <c r="H123" s="3"/>
      <c r="I123" s="3"/>
      <c r="J123" s="3"/>
      <c r="K123" s="2"/>
      <c r="L123" s="1" t="s">
        <v>337</v>
      </c>
      <c r="M123" s="3"/>
      <c r="N123" s="3"/>
      <c r="O123" s="3"/>
      <c r="P123" s="3"/>
      <c r="Q123" s="3"/>
      <c r="R123" s="3"/>
      <c r="S123" s="3"/>
      <c r="T123" s="2"/>
      <c r="U123" s="1" t="s">
        <v>338</v>
      </c>
      <c r="V123" s="3"/>
      <c r="W123" s="3"/>
      <c r="X123" s="3"/>
      <c r="Y123" s="3"/>
      <c r="Z123" s="3"/>
      <c r="AA123" s="3"/>
      <c r="AB123" s="3"/>
      <c r="AC123" s="3"/>
      <c r="AD123" s="73" t="s">
        <v>509</v>
      </c>
      <c r="AE123" s="73"/>
      <c r="AF123" s="73"/>
      <c r="AG123" s="73"/>
      <c r="AH123" s="73" t="s">
        <v>510</v>
      </c>
      <c r="AI123" s="73"/>
      <c r="AJ123" s="73"/>
      <c r="AK123" s="73"/>
      <c r="AL123" s="73" t="s">
        <v>511</v>
      </c>
      <c r="AM123" s="73"/>
      <c r="AN123" s="73"/>
      <c r="AO123" s="73"/>
      <c r="AP123" s="73" t="s">
        <v>512</v>
      </c>
      <c r="AQ123" s="73"/>
      <c r="AR123" s="73"/>
      <c r="AS123" s="73"/>
      <c r="AT123" s="73" t="s">
        <v>513</v>
      </c>
      <c r="AU123" s="73"/>
      <c r="AV123" s="73"/>
      <c r="AW123" s="73"/>
      <c r="AX123" s="73" t="s">
        <v>514</v>
      </c>
      <c r="AY123" s="73"/>
      <c r="AZ123" s="73"/>
      <c r="BA123" s="73"/>
      <c r="BB123" s="73" t="s">
        <v>515</v>
      </c>
      <c r="BC123" s="73"/>
      <c r="BD123" s="73"/>
      <c r="BE123" s="73"/>
      <c r="BF123" s="73" t="s">
        <v>516</v>
      </c>
      <c r="BG123" s="73"/>
      <c r="BH123" s="73"/>
      <c r="BI123" s="73"/>
      <c r="BJ123" s="73" t="s">
        <v>517</v>
      </c>
      <c r="BK123" s="73"/>
      <c r="BL123" s="73"/>
      <c r="BM123" s="73"/>
      <c r="BN123" s="73" t="s">
        <v>518</v>
      </c>
      <c r="BO123" s="73"/>
      <c r="BP123" s="73"/>
      <c r="BQ123" s="73"/>
      <c r="BR123" s="73" t="s">
        <v>519</v>
      </c>
      <c r="BS123" s="73"/>
      <c r="BT123" s="73"/>
      <c r="BU123" s="73"/>
      <c r="BV123" s="73" t="s">
        <v>520</v>
      </c>
      <c r="BW123" s="73"/>
      <c r="BX123" s="73"/>
      <c r="BY123" s="73"/>
      <c r="BZ123" s="73" t="s">
        <v>521</v>
      </c>
      <c r="CA123" s="73"/>
      <c r="CB123" s="73"/>
      <c r="CC123" s="73"/>
      <c r="CD123" s="73" t="s">
        <v>522</v>
      </c>
      <c r="CE123" s="73"/>
      <c r="CF123" s="73"/>
      <c r="CG123" s="73"/>
      <c r="CH123" s="73" t="s">
        <v>523</v>
      </c>
      <c r="CI123" s="73"/>
      <c r="CJ123" s="73"/>
      <c r="CK123" s="73"/>
      <c r="CL123" s="73" t="s">
        <v>524</v>
      </c>
      <c r="CM123" s="73"/>
      <c r="CN123" s="73"/>
      <c r="CO123" s="73"/>
      <c r="CP123" s="73" t="s">
        <v>525</v>
      </c>
      <c r="CQ123" s="73"/>
      <c r="CR123" s="73"/>
      <c r="CS123" s="73"/>
      <c r="CT123" s="73" t="s">
        <v>526</v>
      </c>
      <c r="CU123" s="73"/>
      <c r="CV123" s="73"/>
      <c r="CW123" s="73"/>
      <c r="CX123" s="73" t="s">
        <v>527</v>
      </c>
      <c r="CY123" s="73"/>
      <c r="CZ123" s="73"/>
      <c r="DA123" s="73"/>
      <c r="DB123" s="73" t="s">
        <v>528</v>
      </c>
      <c r="DC123" s="73"/>
      <c r="DD123" s="73"/>
      <c r="DE123" s="73"/>
      <c r="DF123" s="73" t="s">
        <v>529</v>
      </c>
      <c r="DG123" s="73"/>
      <c r="DH123" s="73"/>
      <c r="DI123" s="73"/>
      <c r="DJ123" s="73" t="s">
        <v>530</v>
      </c>
      <c r="DK123" s="73"/>
      <c r="DL123" s="73"/>
      <c r="DM123" s="73"/>
      <c r="DN123" s="73" t="s">
        <v>531</v>
      </c>
      <c r="DO123" s="73"/>
      <c r="DP123" s="73"/>
      <c r="DQ123" s="73"/>
      <c r="DR123" s="73" t="s">
        <v>532</v>
      </c>
      <c r="DS123" s="73"/>
      <c r="DT123" s="73"/>
      <c r="DU123" s="73"/>
      <c r="DV123" s="73" t="s">
        <v>533</v>
      </c>
      <c r="DW123" s="73"/>
      <c r="DX123" s="73"/>
      <c r="DY123" s="73"/>
      <c r="DZ123" s="73" t="s">
        <v>534</v>
      </c>
      <c r="EA123" s="73"/>
      <c r="EB123" s="73"/>
      <c r="EC123" s="73"/>
      <c r="ED123" s="73" t="s">
        <v>535</v>
      </c>
      <c r="EE123" s="73"/>
      <c r="EF123" s="73"/>
      <c r="EG123" s="73"/>
    </row>
    <row r="124" spans="1:137" ht="19.8" thickBot="1" x14ac:dyDescent="0.35">
      <c r="A124" s="9" t="s">
        <v>31</v>
      </c>
      <c r="B124" s="10" t="s">
        <v>339</v>
      </c>
      <c r="C124" s="10" t="s">
        <v>33</v>
      </c>
      <c r="D124" s="10" t="s">
        <v>34</v>
      </c>
      <c r="E124" s="10" t="s">
        <v>35</v>
      </c>
      <c r="F124" s="10" t="s">
        <v>536</v>
      </c>
      <c r="G124" s="10" t="s">
        <v>37</v>
      </c>
      <c r="H124" s="10" t="s">
        <v>38</v>
      </c>
      <c r="I124" s="10" t="s">
        <v>340</v>
      </c>
      <c r="J124" s="10" t="s">
        <v>341</v>
      </c>
      <c r="K124" s="10" t="s">
        <v>39</v>
      </c>
      <c r="L124" s="10" t="s">
        <v>33</v>
      </c>
      <c r="M124" s="10" t="s">
        <v>34</v>
      </c>
      <c r="N124" s="10" t="s">
        <v>35</v>
      </c>
      <c r="O124" s="10" t="s">
        <v>36</v>
      </c>
      <c r="P124" s="10" t="s">
        <v>37</v>
      </c>
      <c r="Q124" s="10" t="s">
        <v>38</v>
      </c>
      <c r="R124" s="10" t="s">
        <v>340</v>
      </c>
      <c r="S124" s="10" t="s">
        <v>341</v>
      </c>
      <c r="T124" s="10" t="s">
        <v>39</v>
      </c>
      <c r="U124" s="10" t="s">
        <v>33</v>
      </c>
      <c r="V124" s="10" t="s">
        <v>34</v>
      </c>
      <c r="W124" s="10" t="s">
        <v>35</v>
      </c>
      <c r="X124" s="10" t="s">
        <v>36</v>
      </c>
      <c r="Y124" s="10" t="s">
        <v>37</v>
      </c>
      <c r="Z124" s="10" t="s">
        <v>38</v>
      </c>
      <c r="AA124" s="10" t="s">
        <v>340</v>
      </c>
      <c r="AB124" s="10" t="s">
        <v>341</v>
      </c>
      <c r="AC124" s="12" t="s">
        <v>39</v>
      </c>
      <c r="AD124" s="15" t="s">
        <v>40</v>
      </c>
      <c r="AE124" s="15" t="s">
        <v>41</v>
      </c>
      <c r="AF124" s="15" t="s">
        <v>42</v>
      </c>
      <c r="AG124" s="15" t="s">
        <v>43</v>
      </c>
      <c r="AH124" s="15" t="s">
        <v>40</v>
      </c>
      <c r="AI124" s="15" t="s">
        <v>41</v>
      </c>
      <c r="AJ124" s="15" t="s">
        <v>42</v>
      </c>
      <c r="AK124" s="15" t="s">
        <v>43</v>
      </c>
      <c r="AL124" s="15" t="s">
        <v>40</v>
      </c>
      <c r="AM124" s="15" t="s">
        <v>41</v>
      </c>
      <c r="AN124" s="15" t="s">
        <v>42</v>
      </c>
      <c r="AO124" s="15" t="s">
        <v>43</v>
      </c>
      <c r="AP124" s="15" t="s">
        <v>40</v>
      </c>
      <c r="AQ124" s="15" t="s">
        <v>41</v>
      </c>
      <c r="AR124" s="15" t="s">
        <v>42</v>
      </c>
      <c r="AS124" s="15" t="s">
        <v>43</v>
      </c>
      <c r="AT124" s="15" t="s">
        <v>40</v>
      </c>
      <c r="AU124" s="15" t="s">
        <v>41</v>
      </c>
      <c r="AV124" s="15" t="s">
        <v>42</v>
      </c>
      <c r="AW124" s="15" t="s">
        <v>43</v>
      </c>
      <c r="AX124" s="15" t="s">
        <v>40</v>
      </c>
      <c r="AY124" s="15" t="s">
        <v>41</v>
      </c>
      <c r="AZ124" s="15" t="s">
        <v>42</v>
      </c>
      <c r="BA124" s="15" t="s">
        <v>43</v>
      </c>
      <c r="BB124" s="15" t="s">
        <v>40</v>
      </c>
      <c r="BC124" s="15" t="s">
        <v>41</v>
      </c>
      <c r="BD124" s="15" t="s">
        <v>42</v>
      </c>
      <c r="BE124" s="15" t="s">
        <v>43</v>
      </c>
      <c r="BF124" s="15" t="s">
        <v>40</v>
      </c>
      <c r="BG124" s="15" t="s">
        <v>41</v>
      </c>
      <c r="BH124" s="15" t="s">
        <v>42</v>
      </c>
      <c r="BI124" s="15" t="s">
        <v>43</v>
      </c>
      <c r="BJ124" s="15" t="s">
        <v>40</v>
      </c>
      <c r="BK124" s="15" t="s">
        <v>41</v>
      </c>
      <c r="BL124" s="15" t="s">
        <v>42</v>
      </c>
      <c r="BM124" s="15" t="s">
        <v>43</v>
      </c>
      <c r="BN124" s="15" t="s">
        <v>40</v>
      </c>
      <c r="BO124" s="15" t="s">
        <v>41</v>
      </c>
      <c r="BP124" s="15" t="s">
        <v>42</v>
      </c>
      <c r="BQ124" s="15" t="s">
        <v>43</v>
      </c>
      <c r="BR124" s="15" t="s">
        <v>40</v>
      </c>
      <c r="BS124" s="15" t="s">
        <v>41</v>
      </c>
      <c r="BT124" s="15" t="s">
        <v>42</v>
      </c>
      <c r="BU124" s="15" t="s">
        <v>43</v>
      </c>
      <c r="BV124" s="15" t="s">
        <v>40</v>
      </c>
      <c r="BW124" s="15" t="s">
        <v>41</v>
      </c>
      <c r="BX124" s="15" t="s">
        <v>42</v>
      </c>
      <c r="BY124" s="15" t="s">
        <v>43</v>
      </c>
      <c r="BZ124" s="15" t="s">
        <v>40</v>
      </c>
      <c r="CA124" s="15" t="s">
        <v>41</v>
      </c>
      <c r="CB124" s="15" t="s">
        <v>42</v>
      </c>
      <c r="CC124" s="15" t="s">
        <v>43</v>
      </c>
      <c r="CD124" s="15" t="s">
        <v>40</v>
      </c>
      <c r="CE124" s="15" t="s">
        <v>41</v>
      </c>
      <c r="CF124" s="15" t="s">
        <v>42</v>
      </c>
      <c r="CG124" s="15" t="s">
        <v>43</v>
      </c>
      <c r="CH124" s="15" t="s">
        <v>40</v>
      </c>
      <c r="CI124" s="15" t="s">
        <v>41</v>
      </c>
      <c r="CJ124" s="15" t="s">
        <v>42</v>
      </c>
      <c r="CK124" s="15" t="s">
        <v>43</v>
      </c>
      <c r="CL124" s="15" t="s">
        <v>40</v>
      </c>
      <c r="CM124" s="15" t="s">
        <v>41</v>
      </c>
      <c r="CN124" s="15" t="s">
        <v>42</v>
      </c>
      <c r="CO124" s="15" t="s">
        <v>43</v>
      </c>
      <c r="CP124" s="15" t="s">
        <v>40</v>
      </c>
      <c r="CQ124" s="15" t="s">
        <v>41</v>
      </c>
      <c r="CR124" s="15" t="s">
        <v>42</v>
      </c>
      <c r="CS124" s="15" t="s">
        <v>43</v>
      </c>
      <c r="CT124" s="15" t="s">
        <v>40</v>
      </c>
      <c r="CU124" s="15" t="s">
        <v>41</v>
      </c>
      <c r="CV124" s="15" t="s">
        <v>42</v>
      </c>
      <c r="CW124" s="15" t="s">
        <v>43</v>
      </c>
      <c r="CX124" s="15" t="s">
        <v>40</v>
      </c>
      <c r="CY124" s="15" t="s">
        <v>41</v>
      </c>
      <c r="CZ124" s="15" t="s">
        <v>42</v>
      </c>
      <c r="DA124" s="15" t="s">
        <v>43</v>
      </c>
      <c r="DB124" s="15" t="s">
        <v>40</v>
      </c>
      <c r="DC124" s="15" t="s">
        <v>41</v>
      </c>
      <c r="DD124" s="15" t="s">
        <v>42</v>
      </c>
      <c r="DE124" s="15" t="s">
        <v>43</v>
      </c>
      <c r="DF124" s="15" t="s">
        <v>40</v>
      </c>
      <c r="DG124" s="15" t="s">
        <v>41</v>
      </c>
      <c r="DH124" s="15" t="s">
        <v>42</v>
      </c>
      <c r="DI124" s="15" t="s">
        <v>43</v>
      </c>
      <c r="DJ124" s="15" t="s">
        <v>40</v>
      </c>
      <c r="DK124" s="15" t="s">
        <v>41</v>
      </c>
      <c r="DL124" s="15" t="s">
        <v>42</v>
      </c>
      <c r="DM124" s="15" t="s">
        <v>43</v>
      </c>
      <c r="DN124" s="15" t="s">
        <v>40</v>
      </c>
      <c r="DO124" s="15" t="s">
        <v>41</v>
      </c>
      <c r="DP124" s="15" t="s">
        <v>42</v>
      </c>
      <c r="DQ124" s="15" t="s">
        <v>43</v>
      </c>
      <c r="DR124" s="15" t="s">
        <v>40</v>
      </c>
      <c r="DS124" s="15" t="s">
        <v>41</v>
      </c>
      <c r="DT124" s="15" t="s">
        <v>42</v>
      </c>
      <c r="DU124" s="15" t="s">
        <v>43</v>
      </c>
      <c r="DV124" s="15" t="s">
        <v>40</v>
      </c>
      <c r="DW124" s="15" t="s">
        <v>41</v>
      </c>
      <c r="DX124" s="15" t="s">
        <v>42</v>
      </c>
      <c r="DY124" s="15" t="s">
        <v>43</v>
      </c>
      <c r="DZ124" s="15" t="s">
        <v>40</v>
      </c>
      <c r="EA124" s="15" t="s">
        <v>41</v>
      </c>
      <c r="EB124" s="15" t="s">
        <v>42</v>
      </c>
      <c r="EC124" s="15" t="s">
        <v>43</v>
      </c>
      <c r="ED124" s="15" t="s">
        <v>40</v>
      </c>
      <c r="EE124" s="15" t="s">
        <v>41</v>
      </c>
      <c r="EF124" s="15" t="s">
        <v>42</v>
      </c>
      <c r="EG124" s="15" t="s">
        <v>43</v>
      </c>
    </row>
    <row r="125" spans="1:137" ht="15.6" thickTop="1" thickBot="1" x14ac:dyDescent="0.35">
      <c r="A125" s="16" t="s">
        <v>44</v>
      </c>
      <c r="B125" s="17">
        <v>2016</v>
      </c>
      <c r="C125" s="17">
        <v>87211</v>
      </c>
      <c r="D125" s="17">
        <v>5</v>
      </c>
      <c r="E125" s="19">
        <f t="shared" ref="E125:E178" si="49">(D125/C125)*100000</f>
        <v>5.7332217266170549</v>
      </c>
      <c r="F125" s="19">
        <f t="shared" ref="F125:F178" si="50">LN(E125)</f>
        <v>1.746277628674104</v>
      </c>
      <c r="G125" s="20">
        <v>-0.13170000000000001</v>
      </c>
      <c r="H125" s="21">
        <f>(EXP(G125)-1)*100</f>
        <v>-12.339606318281426</v>
      </c>
      <c r="I125" s="119">
        <f>(EXP(-0.356) - 1) * 100</f>
        <v>-29.952737976474765</v>
      </c>
      <c r="J125" s="119">
        <f>(EXP(0.092) - 1) * 100</f>
        <v>9.6364822080816879</v>
      </c>
      <c r="K125" s="120">
        <v>0.17810000000000001</v>
      </c>
      <c r="L125" s="17">
        <v>44845</v>
      </c>
      <c r="M125" s="17">
        <v>14</v>
      </c>
      <c r="N125" s="19">
        <f t="shared" ref="N125:N178" si="51">(M125/L125)*100000</f>
        <v>31.218641989073475</v>
      </c>
      <c r="O125" s="19">
        <f t="shared" ref="O125:O178" si="52">LN(N125)</f>
        <v>3.4410154160333835</v>
      </c>
      <c r="P125" s="20">
        <v>4.0599999999999997E-2</v>
      </c>
      <c r="Q125" s="21">
        <f>(EXP(P125)-1)*100</f>
        <v>4.1435448040317846</v>
      </c>
      <c r="R125" s="119">
        <f>(EXP(-0.075) - 1) * 100</f>
        <v>-7.2256513671447138</v>
      </c>
      <c r="S125" s="119">
        <f>(EXP(0.156) - 1) * 100</f>
        <v>16.882620308986908</v>
      </c>
      <c r="T125" s="120">
        <v>0.38469999999999999</v>
      </c>
      <c r="U125" s="17">
        <v>17855</v>
      </c>
      <c r="V125" s="17">
        <v>24</v>
      </c>
      <c r="W125" s="19">
        <f t="shared" ref="W125:W178" si="53">(V125/U125)*100000</f>
        <v>134.41612993559227</v>
      </c>
      <c r="X125" s="19">
        <f t="shared" ref="X125:X178" si="54">LN(W125)</f>
        <v>4.9009404352896251</v>
      </c>
      <c r="Y125" s="20">
        <v>0.1149</v>
      </c>
      <c r="Z125" s="21">
        <f>(EXP(Y125)-1)*100</f>
        <v>12.17612558373613</v>
      </c>
      <c r="AA125" s="119">
        <f>(EXP(-0.025) - 1) * 100</f>
        <v>-2.4690087971667385</v>
      </c>
      <c r="AB125" s="119">
        <f>(EXP(0.254) - 1) * 100</f>
        <v>28.917180426780419</v>
      </c>
      <c r="AC125" s="121">
        <v>8.4099999999999994E-2</v>
      </c>
      <c r="AD125" s="15" t="s">
        <v>47</v>
      </c>
      <c r="AE125" s="15">
        <v>1</v>
      </c>
      <c r="AF125" s="15">
        <v>0.30359999999999998</v>
      </c>
      <c r="AG125" s="15">
        <v>0.30359999999999998</v>
      </c>
      <c r="AH125" s="15" t="s">
        <v>47</v>
      </c>
      <c r="AI125" s="15">
        <v>1</v>
      </c>
      <c r="AJ125" s="15">
        <v>2.8799999999999999E-2</v>
      </c>
      <c r="AK125" s="15">
        <v>2.8799999999999999E-2</v>
      </c>
      <c r="AL125" s="15" t="s">
        <v>47</v>
      </c>
      <c r="AM125" s="15">
        <v>1</v>
      </c>
      <c r="AN125" s="15">
        <v>0.23089999999999999</v>
      </c>
      <c r="AO125" s="15">
        <v>0.23089999999999999</v>
      </c>
      <c r="AP125" s="15" t="s">
        <v>47</v>
      </c>
      <c r="AQ125" s="15">
        <v>1</v>
      </c>
      <c r="AR125" s="15">
        <v>6.0000000000000001E-3</v>
      </c>
      <c r="AS125" s="15">
        <v>6.0000000000000001E-3</v>
      </c>
      <c r="AT125" s="15" t="s">
        <v>47</v>
      </c>
      <c r="AU125" s="15">
        <v>1</v>
      </c>
      <c r="AV125" s="15">
        <v>1.52E-2</v>
      </c>
      <c r="AW125" s="15">
        <v>1.52E-2</v>
      </c>
      <c r="AX125" s="15" t="s">
        <v>47</v>
      </c>
      <c r="AY125" s="15">
        <v>1</v>
      </c>
      <c r="AZ125" s="15">
        <v>0.29189999999999999</v>
      </c>
      <c r="BA125" s="15">
        <v>0.29189999999999999</v>
      </c>
      <c r="BB125" s="15" t="s">
        <v>47</v>
      </c>
      <c r="BC125" s="15">
        <v>1</v>
      </c>
      <c r="BD125" s="15">
        <v>3.8999999999999998E-3</v>
      </c>
      <c r="BE125" s="15">
        <v>3.8999999999999998E-3</v>
      </c>
      <c r="BF125" s="15" t="s">
        <v>47</v>
      </c>
      <c r="BG125" s="15">
        <v>1</v>
      </c>
      <c r="BH125" s="15">
        <v>9.9599999999999994E-2</v>
      </c>
      <c r="BI125" s="15">
        <v>9.9599999999999994E-2</v>
      </c>
      <c r="BJ125" s="15" t="s">
        <v>47</v>
      </c>
      <c r="BK125" s="15">
        <v>1</v>
      </c>
      <c r="BL125" s="15">
        <v>7.5600000000000001E-2</v>
      </c>
      <c r="BM125" s="15">
        <v>7.5600000000000001E-2</v>
      </c>
      <c r="BN125" s="15" t="s">
        <v>47</v>
      </c>
      <c r="BO125" s="15">
        <v>1</v>
      </c>
      <c r="BP125" s="15">
        <v>2.8799999999999999E-2</v>
      </c>
      <c r="BQ125" s="15">
        <v>2.8799999999999999E-2</v>
      </c>
      <c r="BR125" s="15" t="s">
        <v>47</v>
      </c>
      <c r="BS125" s="15">
        <v>1</v>
      </c>
      <c r="BT125" s="15">
        <v>1.2999999999999999E-3</v>
      </c>
      <c r="BU125" s="15">
        <v>1.2999999999999999E-3</v>
      </c>
      <c r="BV125" s="15" t="s">
        <v>47</v>
      </c>
      <c r="BW125" s="15">
        <v>1</v>
      </c>
      <c r="BX125" s="15">
        <v>0.23200000000000001</v>
      </c>
      <c r="BY125" s="15">
        <v>0.23200000000000001</v>
      </c>
      <c r="BZ125" s="15" t="s">
        <v>47</v>
      </c>
      <c r="CA125" s="15">
        <v>1</v>
      </c>
      <c r="CB125" s="15">
        <v>1.9900000000000001E-2</v>
      </c>
      <c r="CC125" s="15">
        <v>1.9900000000000001E-2</v>
      </c>
      <c r="CD125" s="15" t="s">
        <v>47</v>
      </c>
      <c r="CE125" s="15">
        <v>1</v>
      </c>
      <c r="CF125" s="15">
        <v>9.8799999999999999E-2</v>
      </c>
      <c r="CG125" s="15">
        <v>9.8799999999999999E-2</v>
      </c>
      <c r="CH125" s="15" t="s">
        <v>47</v>
      </c>
      <c r="CI125" s="15">
        <v>1</v>
      </c>
      <c r="CJ125" s="15">
        <v>7.8200000000000006E-2</v>
      </c>
      <c r="CK125" s="15">
        <v>7.8200000000000006E-2</v>
      </c>
      <c r="CL125" s="15" t="s">
        <v>47</v>
      </c>
      <c r="CM125" s="15">
        <v>1</v>
      </c>
      <c r="CN125" s="15">
        <v>4.58E-2</v>
      </c>
      <c r="CO125" s="15">
        <v>4.58E-2</v>
      </c>
      <c r="CP125" s="15" t="s">
        <v>47</v>
      </c>
      <c r="CQ125" s="15">
        <v>1</v>
      </c>
      <c r="CR125" s="15">
        <v>4.7300000000000002E-2</v>
      </c>
      <c r="CS125" s="15">
        <v>4.7300000000000002E-2</v>
      </c>
      <c r="CT125" s="15" t="s">
        <v>47</v>
      </c>
      <c r="CU125" s="15">
        <v>1</v>
      </c>
      <c r="CV125" s="15">
        <v>1.9599999999999999E-2</v>
      </c>
      <c r="CW125" s="15">
        <v>1.9599999999999999E-2</v>
      </c>
      <c r="CX125" s="15" t="s">
        <v>47</v>
      </c>
      <c r="CY125" s="15">
        <v>1</v>
      </c>
      <c r="CZ125" s="15">
        <v>0.55800000000000005</v>
      </c>
      <c r="DA125" s="15">
        <v>0.55800000000000005</v>
      </c>
      <c r="DB125" s="15" t="s">
        <v>47</v>
      </c>
      <c r="DC125" s="15">
        <v>1</v>
      </c>
      <c r="DD125" s="15">
        <v>0.1169</v>
      </c>
      <c r="DE125" s="15">
        <v>0.1169</v>
      </c>
      <c r="DF125" s="15" t="s">
        <v>47</v>
      </c>
      <c r="DG125" s="15">
        <v>1</v>
      </c>
      <c r="DH125" s="15">
        <v>0.12429999999999999</v>
      </c>
      <c r="DI125" s="15">
        <v>0.12429999999999999</v>
      </c>
      <c r="DJ125" s="15" t="s">
        <v>47</v>
      </c>
      <c r="DK125" s="15">
        <v>1</v>
      </c>
      <c r="DL125" s="15">
        <v>0.60919999999999996</v>
      </c>
      <c r="DM125" s="15">
        <v>0.60919999999999996</v>
      </c>
      <c r="DN125" s="15" t="s">
        <v>47</v>
      </c>
      <c r="DO125" s="15">
        <v>1</v>
      </c>
      <c r="DP125" s="15">
        <v>4.53E-2</v>
      </c>
      <c r="DQ125" s="15">
        <v>4.53E-2</v>
      </c>
      <c r="DR125" s="15" t="s">
        <v>47</v>
      </c>
      <c r="DS125" s="15">
        <v>1</v>
      </c>
      <c r="DT125" s="15">
        <v>4.53E-2</v>
      </c>
      <c r="DU125" s="15">
        <v>4.53E-2</v>
      </c>
      <c r="DV125" s="15" t="s">
        <v>47</v>
      </c>
      <c r="DW125" s="15">
        <v>1</v>
      </c>
      <c r="DX125" s="15">
        <v>0.55979999999999996</v>
      </c>
      <c r="DY125" s="15">
        <v>0.55979999999999996</v>
      </c>
      <c r="DZ125" s="15" t="s">
        <v>47</v>
      </c>
      <c r="EA125" s="15">
        <v>1</v>
      </c>
      <c r="EB125" s="15">
        <v>1.7000000000000001E-2</v>
      </c>
      <c r="EC125" s="15">
        <v>1.7000000000000001E-2</v>
      </c>
      <c r="ED125" s="15" t="s">
        <v>47</v>
      </c>
      <c r="EE125" s="15">
        <v>1</v>
      </c>
      <c r="EF125" s="15">
        <v>0.2041</v>
      </c>
      <c r="EG125" s="15">
        <v>0.2041</v>
      </c>
    </row>
    <row r="126" spans="1:137" ht="15.6" thickTop="1" thickBot="1" x14ac:dyDescent="0.35">
      <c r="A126" s="24"/>
      <c r="B126" s="122">
        <v>2017</v>
      </c>
      <c r="C126" s="17">
        <v>89748</v>
      </c>
      <c r="D126" s="17">
        <v>3</v>
      </c>
      <c r="E126" s="19">
        <f t="shared" si="49"/>
        <v>3.3426928733787942</v>
      </c>
      <c r="F126" s="19">
        <f t="shared" si="50"/>
        <v>1.2067767316586704</v>
      </c>
      <c r="G126" s="25"/>
      <c r="H126" s="21"/>
      <c r="I126" s="123"/>
      <c r="J126" s="123"/>
      <c r="K126" s="124"/>
      <c r="L126" s="17">
        <v>46562</v>
      </c>
      <c r="M126" s="17">
        <v>13</v>
      </c>
      <c r="N126" s="19">
        <f t="shared" si="51"/>
        <v>27.919762896782782</v>
      </c>
      <c r="O126" s="19">
        <f t="shared" si="52"/>
        <v>3.3293347856225388</v>
      </c>
      <c r="P126" s="25"/>
      <c r="Q126" s="21"/>
      <c r="R126" s="123"/>
      <c r="S126" s="123"/>
      <c r="T126" s="124"/>
      <c r="U126" s="17">
        <v>18362</v>
      </c>
      <c r="V126" s="17">
        <v>30</v>
      </c>
      <c r="W126" s="19">
        <f t="shared" si="53"/>
        <v>163.38089532730638</v>
      </c>
      <c r="X126" s="19">
        <f t="shared" si="54"/>
        <v>5.096084255928738</v>
      </c>
      <c r="Y126" s="25"/>
      <c r="Z126" s="21"/>
      <c r="AA126" s="123"/>
      <c r="AB126" s="123"/>
      <c r="AC126" s="125"/>
      <c r="AD126" s="15" t="s">
        <v>54</v>
      </c>
      <c r="AE126" s="15">
        <v>4</v>
      </c>
      <c r="AF126" s="15">
        <v>0.45629999999999998</v>
      </c>
      <c r="AG126" s="15">
        <v>0.11409999999999999</v>
      </c>
      <c r="AH126" s="15" t="s">
        <v>54</v>
      </c>
      <c r="AI126" s="15">
        <v>4</v>
      </c>
      <c r="AJ126" s="15">
        <v>0.1212</v>
      </c>
      <c r="AK126" s="15">
        <v>3.0300000000000001E-2</v>
      </c>
      <c r="AL126" s="15" t="s">
        <v>54</v>
      </c>
      <c r="AM126" s="15">
        <v>4</v>
      </c>
      <c r="AN126" s="15">
        <v>0.1767</v>
      </c>
      <c r="AO126" s="15">
        <v>4.4200000000000003E-2</v>
      </c>
      <c r="AP126" s="15" t="s">
        <v>54</v>
      </c>
      <c r="AQ126" s="15">
        <v>4</v>
      </c>
      <c r="AR126" s="15">
        <v>7.6799999999999993E-2</v>
      </c>
      <c r="AS126" s="15">
        <v>1.9199999999999998E-2</v>
      </c>
      <c r="AT126" s="15" t="s">
        <v>54</v>
      </c>
      <c r="AU126" s="15">
        <v>4</v>
      </c>
      <c r="AV126" s="15">
        <v>0.21129999999999999</v>
      </c>
      <c r="AW126" s="15">
        <v>5.28E-2</v>
      </c>
      <c r="AX126" s="15" t="s">
        <v>54</v>
      </c>
      <c r="AY126" s="15">
        <v>4</v>
      </c>
      <c r="AZ126" s="15">
        <v>1.83E-2</v>
      </c>
      <c r="BA126" s="15">
        <v>4.5999999999999999E-3</v>
      </c>
      <c r="BB126" s="15" t="s">
        <v>54</v>
      </c>
      <c r="BC126" s="15">
        <v>4</v>
      </c>
      <c r="BD126" s="15">
        <v>0.27889999999999998</v>
      </c>
      <c r="BE126" s="15">
        <v>6.9699999999999998E-2</v>
      </c>
      <c r="BF126" s="15" t="s">
        <v>54</v>
      </c>
      <c r="BG126" s="15">
        <v>4</v>
      </c>
      <c r="BH126" s="15">
        <v>0.1578</v>
      </c>
      <c r="BI126" s="15">
        <v>3.9399999999999998E-2</v>
      </c>
      <c r="BJ126" s="15" t="s">
        <v>54</v>
      </c>
      <c r="BK126" s="15">
        <v>4</v>
      </c>
      <c r="BL126" s="15">
        <v>9.7999999999999997E-3</v>
      </c>
      <c r="BM126" s="15">
        <v>2.3999999999999998E-3</v>
      </c>
      <c r="BN126" s="15" t="s">
        <v>54</v>
      </c>
      <c r="BO126" s="15">
        <v>4</v>
      </c>
      <c r="BP126" s="15">
        <v>0.75609999999999999</v>
      </c>
      <c r="BQ126" s="15">
        <v>0.189</v>
      </c>
      <c r="BR126" s="15" t="s">
        <v>54</v>
      </c>
      <c r="BS126" s="15">
        <v>4</v>
      </c>
      <c r="BT126" s="15">
        <v>0.35210000000000002</v>
      </c>
      <c r="BU126" s="15">
        <v>8.7999999999999995E-2</v>
      </c>
      <c r="BV126" s="15" t="s">
        <v>54</v>
      </c>
      <c r="BW126" s="15">
        <v>4</v>
      </c>
      <c r="BX126" s="15">
        <v>0.14510000000000001</v>
      </c>
      <c r="BY126" s="15">
        <v>3.6299999999999999E-2</v>
      </c>
      <c r="BZ126" s="15" t="s">
        <v>54</v>
      </c>
      <c r="CA126" s="15">
        <v>4</v>
      </c>
      <c r="CB126" s="15">
        <v>1.1808000000000001</v>
      </c>
      <c r="CC126" s="15">
        <v>0.29520000000000002</v>
      </c>
      <c r="CD126" s="15" t="s">
        <v>54</v>
      </c>
      <c r="CE126" s="15">
        <v>4</v>
      </c>
      <c r="CF126" s="15">
        <v>0.14949999999999999</v>
      </c>
      <c r="CG126" s="15">
        <v>3.7400000000000003E-2</v>
      </c>
      <c r="CH126" s="15" t="s">
        <v>54</v>
      </c>
      <c r="CI126" s="15">
        <v>4</v>
      </c>
      <c r="CJ126" s="15">
        <v>4.1999999999999997E-3</v>
      </c>
      <c r="CK126" s="15">
        <v>1E-3</v>
      </c>
      <c r="CL126" s="15" t="s">
        <v>54</v>
      </c>
      <c r="CM126" s="15">
        <v>4</v>
      </c>
      <c r="CN126" s="15">
        <v>0.64490000000000003</v>
      </c>
      <c r="CO126" s="15">
        <v>0.16120000000000001</v>
      </c>
      <c r="CP126" s="15" t="s">
        <v>54</v>
      </c>
      <c r="CQ126" s="15">
        <v>4</v>
      </c>
      <c r="CR126" s="15">
        <v>0.1048</v>
      </c>
      <c r="CS126" s="15">
        <v>2.6200000000000001E-2</v>
      </c>
      <c r="CT126" s="15" t="s">
        <v>54</v>
      </c>
      <c r="CU126" s="15">
        <v>4</v>
      </c>
      <c r="CV126" s="15">
        <v>1.44E-2</v>
      </c>
      <c r="CW126" s="15">
        <v>3.5999999999999999E-3</v>
      </c>
      <c r="CX126" s="15" t="s">
        <v>54</v>
      </c>
      <c r="CY126" s="15">
        <v>4</v>
      </c>
      <c r="CZ126" s="15">
        <v>1.6975</v>
      </c>
      <c r="DA126" s="15">
        <v>0.4244</v>
      </c>
      <c r="DB126" s="15" t="s">
        <v>54</v>
      </c>
      <c r="DC126" s="15">
        <v>4</v>
      </c>
      <c r="DD126" s="15">
        <v>4.7899999999999998E-2</v>
      </c>
      <c r="DE126" s="15">
        <v>1.2E-2</v>
      </c>
      <c r="DF126" s="15" t="s">
        <v>54</v>
      </c>
      <c r="DG126" s="15">
        <v>4</v>
      </c>
      <c r="DH126" s="15">
        <v>6.1400000000000003E-2</v>
      </c>
      <c r="DI126" s="15">
        <v>1.5299999999999999E-2</v>
      </c>
      <c r="DJ126" s="15" t="s">
        <v>54</v>
      </c>
      <c r="DK126" s="15">
        <v>4</v>
      </c>
      <c r="DL126" s="15">
        <v>0.18629999999999999</v>
      </c>
      <c r="DM126" s="15">
        <v>4.6600000000000003E-2</v>
      </c>
      <c r="DN126" s="15" t="s">
        <v>54</v>
      </c>
      <c r="DO126" s="15">
        <v>4</v>
      </c>
      <c r="DP126" s="15">
        <v>0.51910000000000001</v>
      </c>
      <c r="DQ126" s="15">
        <v>0.1298</v>
      </c>
      <c r="DR126" s="15" t="s">
        <v>54</v>
      </c>
      <c r="DS126" s="15">
        <v>4</v>
      </c>
      <c r="DT126" s="15">
        <v>2.3099999999999999E-2</v>
      </c>
      <c r="DU126" s="15">
        <v>5.7999999999999996E-3</v>
      </c>
      <c r="DV126" s="15" t="s">
        <v>54</v>
      </c>
      <c r="DW126" s="15">
        <v>4</v>
      </c>
      <c r="DX126" s="15">
        <v>2.2683</v>
      </c>
      <c r="DY126" s="15">
        <v>0.56710000000000005</v>
      </c>
      <c r="DZ126" s="15" t="s">
        <v>54</v>
      </c>
      <c r="EA126" s="15">
        <v>4</v>
      </c>
      <c r="EB126" s="15">
        <v>8.2100000000000006E-2</v>
      </c>
      <c r="EC126" s="15">
        <v>2.0500000000000001E-2</v>
      </c>
      <c r="ED126" s="15" t="s">
        <v>54</v>
      </c>
      <c r="EE126" s="15">
        <v>4</v>
      </c>
      <c r="EF126" s="15">
        <v>6.7199999999999996E-2</v>
      </c>
      <c r="EG126" s="15">
        <v>1.6799999999999999E-2</v>
      </c>
    </row>
    <row r="127" spans="1:137" ht="15.6" thickTop="1" thickBot="1" x14ac:dyDescent="0.35">
      <c r="A127" s="24"/>
      <c r="B127" s="122">
        <v>2018</v>
      </c>
      <c r="C127" s="17">
        <v>92358</v>
      </c>
      <c r="D127" s="17">
        <v>4</v>
      </c>
      <c r="E127" s="19">
        <f t="shared" si="49"/>
        <v>4.3309729530739087</v>
      </c>
      <c r="F127" s="19">
        <f t="shared" si="50"/>
        <v>1.4657922172519897</v>
      </c>
      <c r="G127" s="25"/>
      <c r="H127" s="21"/>
      <c r="I127" s="123"/>
      <c r="J127" s="123"/>
      <c r="K127" s="124"/>
      <c r="L127" s="17">
        <v>48395</v>
      </c>
      <c r="M127" s="17">
        <v>14</v>
      </c>
      <c r="N127" s="19">
        <f t="shared" si="51"/>
        <v>28.928608327306542</v>
      </c>
      <c r="O127" s="19">
        <f t="shared" si="52"/>
        <v>3.364831013002298</v>
      </c>
      <c r="P127" s="25"/>
      <c r="Q127" s="21"/>
      <c r="R127" s="123"/>
      <c r="S127" s="123"/>
      <c r="T127" s="124"/>
      <c r="U127" s="17">
        <v>18955</v>
      </c>
      <c r="V127" s="17">
        <v>44</v>
      </c>
      <c r="W127" s="19">
        <f t="shared" si="53"/>
        <v>232.12872592983379</v>
      </c>
      <c r="X127" s="19">
        <f t="shared" si="54"/>
        <v>5.4472920709380546</v>
      </c>
      <c r="Y127" s="25"/>
      <c r="Z127" s="21"/>
      <c r="AA127" s="123"/>
      <c r="AB127" s="123"/>
      <c r="AC127" s="125"/>
      <c r="AD127" s="15" t="s">
        <v>67</v>
      </c>
      <c r="AE127" s="15">
        <v>5</v>
      </c>
      <c r="AF127" s="15">
        <v>0.76</v>
      </c>
      <c r="AG127" s="15" t="s">
        <v>68</v>
      </c>
      <c r="AH127" s="15" t="s">
        <v>67</v>
      </c>
      <c r="AI127" s="15">
        <v>5</v>
      </c>
      <c r="AJ127" s="15">
        <v>0.15</v>
      </c>
      <c r="AK127" s="15" t="s">
        <v>68</v>
      </c>
      <c r="AL127" s="15" t="s">
        <v>67</v>
      </c>
      <c r="AM127" s="15">
        <v>5</v>
      </c>
      <c r="AN127" s="15">
        <v>0.40749999999999997</v>
      </c>
      <c r="AO127" s="15" t="s">
        <v>68</v>
      </c>
      <c r="AP127" s="15" t="s">
        <v>67</v>
      </c>
      <c r="AQ127" s="15">
        <v>5</v>
      </c>
      <c r="AR127" s="15">
        <v>8.2900000000000001E-2</v>
      </c>
      <c r="AS127" s="15" t="s">
        <v>68</v>
      </c>
      <c r="AT127" s="15" t="s">
        <v>67</v>
      </c>
      <c r="AU127" s="15">
        <v>5</v>
      </c>
      <c r="AV127" s="15">
        <v>0.22650000000000001</v>
      </c>
      <c r="AW127" s="15" t="s">
        <v>68</v>
      </c>
      <c r="AX127" s="15" t="s">
        <v>67</v>
      </c>
      <c r="AY127" s="15">
        <v>5</v>
      </c>
      <c r="AZ127" s="15">
        <v>0.31009999999999999</v>
      </c>
      <c r="BA127" s="15" t="s">
        <v>68</v>
      </c>
      <c r="BB127" s="15" t="s">
        <v>67</v>
      </c>
      <c r="BC127" s="15">
        <v>5</v>
      </c>
      <c r="BD127" s="15">
        <v>0.2828</v>
      </c>
      <c r="BE127" s="15" t="s">
        <v>68</v>
      </c>
      <c r="BF127" s="15" t="s">
        <v>67</v>
      </c>
      <c r="BG127" s="15">
        <v>5</v>
      </c>
      <c r="BH127" s="15">
        <v>0.25729999999999997</v>
      </c>
      <c r="BI127" s="15" t="s">
        <v>68</v>
      </c>
      <c r="BJ127" s="15" t="s">
        <v>67</v>
      </c>
      <c r="BK127" s="15">
        <v>5</v>
      </c>
      <c r="BL127" s="15">
        <v>8.5300000000000001E-2</v>
      </c>
      <c r="BM127" s="15" t="s">
        <v>68</v>
      </c>
      <c r="BN127" s="15" t="s">
        <v>67</v>
      </c>
      <c r="BO127" s="15">
        <v>5</v>
      </c>
      <c r="BP127" s="15">
        <v>0.78490000000000004</v>
      </c>
      <c r="BQ127" s="15" t="s">
        <v>68</v>
      </c>
      <c r="BR127" s="15" t="s">
        <v>67</v>
      </c>
      <c r="BS127" s="15">
        <v>5</v>
      </c>
      <c r="BT127" s="15">
        <v>0.35339999999999999</v>
      </c>
      <c r="BU127" s="15" t="s">
        <v>68</v>
      </c>
      <c r="BV127" s="15" t="s">
        <v>67</v>
      </c>
      <c r="BW127" s="15">
        <v>5</v>
      </c>
      <c r="BX127" s="15">
        <v>0.37709999999999999</v>
      </c>
      <c r="BY127" s="15" t="s">
        <v>68</v>
      </c>
      <c r="BZ127" s="15" t="s">
        <v>67</v>
      </c>
      <c r="CA127" s="15">
        <v>5</v>
      </c>
      <c r="CB127" s="15">
        <v>1.2007000000000001</v>
      </c>
      <c r="CC127" s="15" t="s">
        <v>68</v>
      </c>
      <c r="CD127" s="15" t="s">
        <v>67</v>
      </c>
      <c r="CE127" s="15">
        <v>5</v>
      </c>
      <c r="CF127" s="15">
        <v>0.24829999999999999</v>
      </c>
      <c r="CG127" s="15" t="s">
        <v>68</v>
      </c>
      <c r="CH127" s="15" t="s">
        <v>67</v>
      </c>
      <c r="CI127" s="15">
        <v>5</v>
      </c>
      <c r="CJ127" s="15">
        <v>8.2400000000000001E-2</v>
      </c>
      <c r="CK127" s="15" t="s">
        <v>68</v>
      </c>
      <c r="CL127" s="15" t="s">
        <v>67</v>
      </c>
      <c r="CM127" s="15">
        <v>5</v>
      </c>
      <c r="CN127" s="15">
        <v>0.69069999999999998</v>
      </c>
      <c r="CO127" s="15" t="s">
        <v>68</v>
      </c>
      <c r="CP127" s="15" t="s">
        <v>67</v>
      </c>
      <c r="CQ127" s="15">
        <v>5</v>
      </c>
      <c r="CR127" s="15">
        <v>0.15210000000000001</v>
      </c>
      <c r="CS127" s="15" t="s">
        <v>68</v>
      </c>
      <c r="CT127" s="15" t="s">
        <v>67</v>
      </c>
      <c r="CU127" s="15">
        <v>5</v>
      </c>
      <c r="CV127" s="15">
        <v>3.4000000000000002E-2</v>
      </c>
      <c r="CW127" s="15" t="s">
        <v>68</v>
      </c>
      <c r="CX127" s="15" t="s">
        <v>67</v>
      </c>
      <c r="CY127" s="15">
        <v>5</v>
      </c>
      <c r="CZ127" s="15">
        <v>2.2555999999999998</v>
      </c>
      <c r="DA127" s="15" t="s">
        <v>68</v>
      </c>
      <c r="DB127" s="15" t="s">
        <v>67</v>
      </c>
      <c r="DC127" s="15">
        <v>5</v>
      </c>
      <c r="DD127" s="15">
        <v>0.1648</v>
      </c>
      <c r="DE127" s="15" t="s">
        <v>68</v>
      </c>
      <c r="DF127" s="15" t="s">
        <v>67</v>
      </c>
      <c r="DG127" s="15">
        <v>5</v>
      </c>
      <c r="DH127" s="15">
        <v>0.1857</v>
      </c>
      <c r="DI127" s="15" t="s">
        <v>68</v>
      </c>
      <c r="DJ127" s="15" t="s">
        <v>67</v>
      </c>
      <c r="DK127" s="15">
        <v>5</v>
      </c>
      <c r="DL127" s="15">
        <v>0.79549999999999998</v>
      </c>
      <c r="DM127" s="15" t="s">
        <v>68</v>
      </c>
      <c r="DN127" s="15" t="s">
        <v>67</v>
      </c>
      <c r="DO127" s="15">
        <v>5</v>
      </c>
      <c r="DP127" s="15">
        <v>0.56440000000000001</v>
      </c>
      <c r="DQ127" s="15" t="s">
        <v>68</v>
      </c>
      <c r="DR127" s="15" t="s">
        <v>67</v>
      </c>
      <c r="DS127" s="15">
        <v>5</v>
      </c>
      <c r="DT127" s="15">
        <v>6.83E-2</v>
      </c>
      <c r="DU127" s="15" t="s">
        <v>68</v>
      </c>
      <c r="DV127" s="15" t="s">
        <v>67</v>
      </c>
      <c r="DW127" s="15">
        <v>5</v>
      </c>
      <c r="DX127" s="15">
        <v>2.8281000000000001</v>
      </c>
      <c r="DY127" s="15" t="s">
        <v>68</v>
      </c>
      <c r="DZ127" s="15" t="s">
        <v>67</v>
      </c>
      <c r="EA127" s="15">
        <v>5</v>
      </c>
      <c r="EB127" s="15">
        <v>9.9099999999999994E-2</v>
      </c>
      <c r="EC127" s="15" t="s">
        <v>68</v>
      </c>
      <c r="ED127" s="15" t="s">
        <v>67</v>
      </c>
      <c r="EE127" s="15">
        <v>5</v>
      </c>
      <c r="EF127" s="15">
        <v>0.27129999999999999</v>
      </c>
      <c r="EG127" s="15" t="s">
        <v>68</v>
      </c>
    </row>
    <row r="128" spans="1:137" ht="15.6" thickTop="1" thickBot="1" x14ac:dyDescent="0.35">
      <c r="A128" s="24"/>
      <c r="B128" s="122">
        <v>2019</v>
      </c>
      <c r="C128" s="17">
        <v>95170</v>
      </c>
      <c r="D128" s="17">
        <v>5</v>
      </c>
      <c r="E128" s="19">
        <f t="shared" si="49"/>
        <v>5.253756435851634</v>
      </c>
      <c r="F128" s="19">
        <f t="shared" si="50"/>
        <v>1.6589433323379397</v>
      </c>
      <c r="G128" s="25"/>
      <c r="H128" s="21"/>
      <c r="I128" s="123"/>
      <c r="J128" s="123"/>
      <c r="K128" s="124"/>
      <c r="L128" s="17">
        <v>50345</v>
      </c>
      <c r="M128" s="17">
        <v>12</v>
      </c>
      <c r="N128" s="19">
        <f t="shared" si="51"/>
        <v>23.835534809812295</v>
      </c>
      <c r="O128" s="19">
        <f t="shared" si="52"/>
        <v>3.1711775264085134</v>
      </c>
      <c r="P128" s="25"/>
      <c r="Q128" s="21"/>
      <c r="R128" s="123"/>
      <c r="S128" s="123"/>
      <c r="T128" s="124"/>
      <c r="U128" s="17">
        <v>19612</v>
      </c>
      <c r="V128" s="17">
        <v>58</v>
      </c>
      <c r="W128" s="19">
        <f t="shared" si="53"/>
        <v>295.7373036916174</v>
      </c>
      <c r="X128" s="19">
        <f t="shared" si="54"/>
        <v>5.6894715727455241</v>
      </c>
      <c r="Y128" s="25"/>
      <c r="Z128" s="21"/>
      <c r="AA128" s="123"/>
      <c r="AB128" s="123"/>
      <c r="AC128" s="12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</row>
    <row r="129" spans="1:137" ht="15.6" thickTop="1" thickBot="1" x14ac:dyDescent="0.35">
      <c r="A129" s="24"/>
      <c r="B129" s="122">
        <v>2020</v>
      </c>
      <c r="C129" s="17">
        <v>97877</v>
      </c>
      <c r="D129" s="17">
        <v>2</v>
      </c>
      <c r="E129" s="19">
        <f>(D129/C129)*100000</f>
        <v>2.0433809781664745</v>
      </c>
      <c r="F129" s="19">
        <f t="shared" si="50"/>
        <v>0.71460577821851479</v>
      </c>
      <c r="G129" s="25"/>
      <c r="H129" s="21"/>
      <c r="I129" s="123"/>
      <c r="J129" s="123"/>
      <c r="K129" s="124"/>
      <c r="L129" s="17">
        <v>52130</v>
      </c>
      <c r="M129" s="17">
        <v>20</v>
      </c>
      <c r="N129" s="19">
        <f t="shared" si="51"/>
        <v>38.365624400537122</v>
      </c>
      <c r="O129" s="19">
        <f t="shared" si="52"/>
        <v>3.6471618607620679</v>
      </c>
      <c r="P129" s="25"/>
      <c r="Q129" s="21"/>
      <c r="R129" s="123"/>
      <c r="S129" s="123"/>
      <c r="T129" s="124"/>
      <c r="U129" s="17">
        <v>20165</v>
      </c>
      <c r="V129" s="17">
        <v>45</v>
      </c>
      <c r="W129" s="19">
        <f t="shared" si="53"/>
        <v>223.15893875526905</v>
      </c>
      <c r="X129" s="19">
        <f t="shared" si="54"/>
        <v>5.4078842474330795</v>
      </c>
      <c r="Y129" s="25"/>
      <c r="Z129" s="21"/>
      <c r="AA129" s="123"/>
      <c r="AB129" s="123"/>
      <c r="AC129" s="125"/>
      <c r="AD129" s="15" t="s">
        <v>75</v>
      </c>
      <c r="AE129" s="15">
        <v>2.6610999999999998</v>
      </c>
      <c r="AF129" s="15" t="s">
        <v>537</v>
      </c>
      <c r="AG129" s="15"/>
      <c r="AH129" s="15" t="s">
        <v>75</v>
      </c>
      <c r="AI129" s="15">
        <v>0.95069999999999999</v>
      </c>
      <c r="AJ129" s="15" t="s">
        <v>538</v>
      </c>
      <c r="AK129" s="15"/>
      <c r="AL129" s="15" t="s">
        <v>75</v>
      </c>
      <c r="AM129" s="15">
        <v>5.2270000000000003</v>
      </c>
      <c r="AN129" s="15" t="s">
        <v>539</v>
      </c>
      <c r="AO129" s="15"/>
      <c r="AP129" s="15" t="s">
        <v>75</v>
      </c>
      <c r="AQ129" s="15">
        <v>0.31419999999999998</v>
      </c>
      <c r="AR129" s="15" t="s">
        <v>540</v>
      </c>
      <c r="AS129" s="15"/>
      <c r="AT129" s="15" t="s">
        <v>75</v>
      </c>
      <c r="AU129" s="15">
        <v>0.28689999999999999</v>
      </c>
      <c r="AV129" s="15" t="s">
        <v>541</v>
      </c>
      <c r="AW129" s="15"/>
      <c r="AX129" s="15" t="s">
        <v>75</v>
      </c>
      <c r="AY129" s="15">
        <v>63.898200000000003</v>
      </c>
      <c r="AZ129" s="15" t="s">
        <v>542</v>
      </c>
      <c r="BA129" s="15"/>
      <c r="BB129" s="15" t="s">
        <v>75</v>
      </c>
      <c r="BC129" s="15">
        <v>5.5399999999999998E-2</v>
      </c>
      <c r="BD129" s="15" t="s">
        <v>543</v>
      </c>
      <c r="BE129" s="15"/>
      <c r="BF129" s="15" t="s">
        <v>75</v>
      </c>
      <c r="BG129" s="15">
        <v>2.5244</v>
      </c>
      <c r="BH129" s="15" t="s">
        <v>544</v>
      </c>
      <c r="BI129" s="15"/>
      <c r="BJ129" s="15" t="s">
        <v>75</v>
      </c>
      <c r="BK129" s="15">
        <v>30.965900000000001</v>
      </c>
      <c r="BL129" s="15" t="s">
        <v>545</v>
      </c>
      <c r="BM129" s="15"/>
      <c r="BN129" s="15" t="s">
        <v>75</v>
      </c>
      <c r="BO129" s="15">
        <v>0.15240000000000001</v>
      </c>
      <c r="BP129" s="15" t="s">
        <v>546</v>
      </c>
      <c r="BQ129" s="15"/>
      <c r="BR129" s="15" t="s">
        <v>75</v>
      </c>
      <c r="BS129" s="15">
        <v>1.46E-2</v>
      </c>
      <c r="BT129" s="15" t="s">
        <v>547</v>
      </c>
      <c r="BU129" s="15"/>
      <c r="BV129" s="15" t="s">
        <v>75</v>
      </c>
      <c r="BW129" s="15">
        <v>6.3971999999999998</v>
      </c>
      <c r="BX129" s="15" t="s">
        <v>548</v>
      </c>
      <c r="BY129" s="15"/>
      <c r="BZ129" s="15" t="s">
        <v>75</v>
      </c>
      <c r="CA129" s="15">
        <v>6.7400000000000002E-2</v>
      </c>
      <c r="CB129" s="15" t="s">
        <v>549</v>
      </c>
      <c r="CC129" s="15"/>
      <c r="CD129" s="15" t="s">
        <v>75</v>
      </c>
      <c r="CE129" s="15">
        <v>2.6442999999999999</v>
      </c>
      <c r="CF129" s="15" t="s">
        <v>550</v>
      </c>
      <c r="CG129" s="15"/>
      <c r="CH129" s="15" t="s">
        <v>75</v>
      </c>
      <c r="CI129" s="15">
        <v>74.905600000000007</v>
      </c>
      <c r="CJ129" s="15" t="s">
        <v>551</v>
      </c>
      <c r="CK129" s="15"/>
      <c r="CL129" s="15" t="s">
        <v>75</v>
      </c>
      <c r="CM129" s="15">
        <v>0.28389999999999999</v>
      </c>
      <c r="CN129" s="15" t="s">
        <v>552</v>
      </c>
      <c r="CO129" s="15"/>
      <c r="CP129" s="15" t="s">
        <v>75</v>
      </c>
      <c r="CQ129" s="15">
        <v>1.8059000000000001</v>
      </c>
      <c r="CR129" s="15" t="s">
        <v>553</v>
      </c>
      <c r="CS129" s="15"/>
      <c r="CT129" s="15" t="s">
        <v>75</v>
      </c>
      <c r="CU129" s="15">
        <v>5.4343000000000004</v>
      </c>
      <c r="CV129" s="15" t="s">
        <v>554</v>
      </c>
      <c r="CW129" s="15"/>
      <c r="CX129" s="15" t="s">
        <v>75</v>
      </c>
      <c r="CY129" s="15">
        <v>1.3149</v>
      </c>
      <c r="CZ129" s="15" t="s">
        <v>555</v>
      </c>
      <c r="DA129" s="15"/>
      <c r="DB129" s="15" t="s">
        <v>75</v>
      </c>
      <c r="DC129" s="15">
        <v>9.7481000000000009</v>
      </c>
      <c r="DD129" s="15" t="s">
        <v>556</v>
      </c>
      <c r="DE129" s="15"/>
      <c r="DF129" s="15" t="s">
        <v>75</v>
      </c>
      <c r="DG129" s="15">
        <v>8.1041000000000007</v>
      </c>
      <c r="DH129" s="15" t="s">
        <v>557</v>
      </c>
      <c r="DI129" s="15"/>
      <c r="DJ129" s="15" t="s">
        <v>75</v>
      </c>
      <c r="DK129" s="15">
        <v>13.0771</v>
      </c>
      <c r="DL129" s="15" t="s">
        <v>558</v>
      </c>
      <c r="DM129" s="15"/>
      <c r="DN129" s="15" t="s">
        <v>75</v>
      </c>
      <c r="DO129" s="15">
        <v>0.3488</v>
      </c>
      <c r="DP129" s="15" t="s">
        <v>559</v>
      </c>
      <c r="DQ129" s="15"/>
      <c r="DR129" s="15" t="s">
        <v>75</v>
      </c>
      <c r="DS129" s="15">
        <v>7.8478000000000003</v>
      </c>
      <c r="DT129" s="15" t="s">
        <v>560</v>
      </c>
      <c r="DU129" s="15"/>
      <c r="DV129" s="15" t="s">
        <v>75</v>
      </c>
      <c r="DW129" s="15">
        <v>0.98719999999999997</v>
      </c>
      <c r="DX129" s="15" t="s">
        <v>561</v>
      </c>
      <c r="DY129" s="15"/>
      <c r="DZ129" s="15" t="s">
        <v>75</v>
      </c>
      <c r="EA129" s="15">
        <v>0.82679999999999998</v>
      </c>
      <c r="EB129" s="15" t="s">
        <v>562</v>
      </c>
      <c r="EC129" s="15"/>
      <c r="ED129" s="15" t="s">
        <v>75</v>
      </c>
      <c r="EE129" s="15">
        <v>12.147600000000001</v>
      </c>
      <c r="EF129" s="15" t="s">
        <v>563</v>
      </c>
      <c r="EG129" s="15"/>
    </row>
    <row r="130" spans="1:137" ht="15.6" thickTop="1" thickBot="1" x14ac:dyDescent="0.35">
      <c r="A130" s="33"/>
      <c r="B130" s="122">
        <v>2021</v>
      </c>
      <c r="C130" s="17">
        <v>100410</v>
      </c>
      <c r="D130" s="17">
        <v>3</v>
      </c>
      <c r="E130" s="19">
        <f>(D130/C130)*100000</f>
        <v>2.987750224081267</v>
      </c>
      <c r="F130" s="19">
        <f>LN(E130)</f>
        <v>1.0945206707648563</v>
      </c>
      <c r="G130" s="34"/>
      <c r="H130" s="21"/>
      <c r="I130" s="126"/>
      <c r="J130" s="126"/>
      <c r="K130" s="127"/>
      <c r="L130" s="17">
        <v>53734</v>
      </c>
      <c r="M130" s="17">
        <v>19</v>
      </c>
      <c r="N130" s="19">
        <f t="shared" si="51"/>
        <v>35.359362787062196</v>
      </c>
      <c r="O130" s="19">
        <f t="shared" si="52"/>
        <v>3.5655632168791884</v>
      </c>
      <c r="P130" s="34"/>
      <c r="Q130" s="21"/>
      <c r="R130" s="126"/>
      <c r="S130" s="126"/>
      <c r="T130" s="127"/>
      <c r="U130" s="17">
        <v>20582</v>
      </c>
      <c r="V130" s="17">
        <v>49</v>
      </c>
      <c r="W130" s="19">
        <f t="shared" si="53"/>
        <v>238.07210183655621</v>
      </c>
      <c r="X130" s="19">
        <f t="shared" si="54"/>
        <v>5.4725735766848178</v>
      </c>
      <c r="Y130" s="34"/>
      <c r="Z130" s="21"/>
      <c r="AA130" s="126"/>
      <c r="AB130" s="126"/>
      <c r="AC130" s="128"/>
      <c r="AD130" s="15" t="s">
        <v>107</v>
      </c>
      <c r="AE130" s="15" t="s">
        <v>108</v>
      </c>
      <c r="AF130" s="15"/>
      <c r="AG130" s="15"/>
      <c r="AH130" s="15" t="s">
        <v>107</v>
      </c>
      <c r="AI130" s="15" t="s">
        <v>108</v>
      </c>
      <c r="AJ130" s="15"/>
      <c r="AK130" s="15"/>
      <c r="AL130" s="15" t="s">
        <v>107</v>
      </c>
      <c r="AM130" s="15" t="s">
        <v>108</v>
      </c>
      <c r="AN130" s="15"/>
      <c r="AO130" s="15"/>
      <c r="AP130" s="15" t="s">
        <v>107</v>
      </c>
      <c r="AQ130" s="15" t="s">
        <v>114</v>
      </c>
      <c r="AR130" s="15"/>
      <c r="AS130" s="15"/>
      <c r="AT130" s="15" t="s">
        <v>107</v>
      </c>
      <c r="AU130" s="15" t="s">
        <v>564</v>
      </c>
      <c r="AV130" s="15"/>
      <c r="AW130" s="15"/>
      <c r="AX130" s="15" t="s">
        <v>107</v>
      </c>
      <c r="AY130" s="15" t="s">
        <v>565</v>
      </c>
      <c r="AZ130" s="15"/>
      <c r="BA130" s="15"/>
      <c r="BB130" s="15" t="s">
        <v>107</v>
      </c>
      <c r="BC130" s="15" t="s">
        <v>114</v>
      </c>
      <c r="BD130" s="15"/>
      <c r="BE130" s="15"/>
      <c r="BF130" s="15" t="s">
        <v>107</v>
      </c>
      <c r="BG130" s="15" t="s">
        <v>564</v>
      </c>
      <c r="BH130" s="15"/>
      <c r="BI130" s="15"/>
      <c r="BJ130" s="15" t="s">
        <v>107</v>
      </c>
      <c r="BK130" s="15" t="s">
        <v>565</v>
      </c>
      <c r="BL130" s="15"/>
      <c r="BM130" s="15"/>
      <c r="BN130" s="15" t="s">
        <v>107</v>
      </c>
      <c r="BO130" s="15" t="s">
        <v>114</v>
      </c>
      <c r="BP130" s="15"/>
      <c r="BQ130" s="15"/>
      <c r="BR130" s="15" t="s">
        <v>107</v>
      </c>
      <c r="BS130" s="15" t="s">
        <v>564</v>
      </c>
      <c r="BT130" s="15"/>
      <c r="BU130" s="15"/>
      <c r="BV130" s="15" t="s">
        <v>107</v>
      </c>
      <c r="BW130" s="15" t="s">
        <v>565</v>
      </c>
      <c r="BX130" s="15"/>
      <c r="BY130" s="15"/>
      <c r="BZ130" s="15" t="s">
        <v>107</v>
      </c>
      <c r="CA130" s="15" t="s">
        <v>114</v>
      </c>
      <c r="CB130" s="15"/>
      <c r="CC130" s="15"/>
      <c r="CD130" s="15" t="s">
        <v>107</v>
      </c>
      <c r="CE130" s="15" t="s">
        <v>564</v>
      </c>
      <c r="CF130" s="15"/>
      <c r="CG130" s="15"/>
      <c r="CH130" s="15" t="s">
        <v>107</v>
      </c>
      <c r="CI130" s="15" t="s">
        <v>565</v>
      </c>
      <c r="CJ130" s="15"/>
      <c r="CK130" s="15"/>
      <c r="CL130" s="15" t="s">
        <v>107</v>
      </c>
      <c r="CM130" s="15" t="s">
        <v>114</v>
      </c>
      <c r="CN130" s="15"/>
      <c r="CO130" s="15"/>
      <c r="CP130" s="15" t="s">
        <v>107</v>
      </c>
      <c r="CQ130" s="15" t="s">
        <v>564</v>
      </c>
      <c r="CR130" s="15"/>
      <c r="CS130" s="15"/>
      <c r="CT130" s="15" t="s">
        <v>107</v>
      </c>
      <c r="CU130" s="15" t="s">
        <v>565</v>
      </c>
      <c r="CV130" s="15"/>
      <c r="CW130" s="15"/>
      <c r="CX130" s="15" t="s">
        <v>107</v>
      </c>
      <c r="CY130" s="15" t="s">
        <v>114</v>
      </c>
      <c r="CZ130" s="15"/>
      <c r="DA130" s="15"/>
      <c r="DB130" s="15" t="s">
        <v>107</v>
      </c>
      <c r="DC130" s="15" t="s">
        <v>564</v>
      </c>
      <c r="DD130" s="15"/>
      <c r="DE130" s="15"/>
      <c r="DF130" s="15" t="s">
        <v>107</v>
      </c>
      <c r="DG130" s="15" t="s">
        <v>565</v>
      </c>
      <c r="DH130" s="15"/>
      <c r="DI130" s="15"/>
      <c r="DJ130" s="15" t="s">
        <v>107</v>
      </c>
      <c r="DK130" s="15" t="s">
        <v>114</v>
      </c>
      <c r="DL130" s="15"/>
      <c r="DM130" s="15"/>
      <c r="DN130" s="15" t="s">
        <v>107</v>
      </c>
      <c r="DO130" s="15" t="s">
        <v>564</v>
      </c>
      <c r="DP130" s="15"/>
      <c r="DQ130" s="15"/>
      <c r="DR130" s="15" t="s">
        <v>107</v>
      </c>
      <c r="DS130" s="15" t="s">
        <v>565</v>
      </c>
      <c r="DT130" s="15"/>
      <c r="DU130" s="15"/>
      <c r="DV130" s="15" t="s">
        <v>107</v>
      </c>
      <c r="DW130" s="15" t="s">
        <v>114</v>
      </c>
      <c r="DX130" s="15"/>
      <c r="DY130" s="15"/>
      <c r="DZ130" s="15" t="s">
        <v>107</v>
      </c>
      <c r="EA130" s="15" t="s">
        <v>564</v>
      </c>
      <c r="EB130" s="15"/>
      <c r="EC130" s="15"/>
      <c r="ED130" s="15" t="s">
        <v>107</v>
      </c>
      <c r="EE130" s="15" t="s">
        <v>565</v>
      </c>
      <c r="EF130" s="15"/>
      <c r="EG130" s="15"/>
    </row>
    <row r="131" spans="1:137" ht="15.6" thickTop="1" thickBot="1" x14ac:dyDescent="0.35">
      <c r="A131" s="38" t="s">
        <v>110</v>
      </c>
      <c r="B131" s="39">
        <v>2016</v>
      </c>
      <c r="C131" s="39">
        <v>445015</v>
      </c>
      <c r="D131" s="39">
        <v>16</v>
      </c>
      <c r="E131" s="19">
        <f t="shared" si="49"/>
        <v>3.5953844252440925</v>
      </c>
      <c r="F131" s="19">
        <f t="shared" si="50"/>
        <v>1.2796509187645611</v>
      </c>
      <c r="G131" s="129">
        <v>0.186</v>
      </c>
      <c r="H131" s="21">
        <f t="shared" ref="H131" si="55">(EXP(G131)-1)*100</f>
        <v>20.442226037762978</v>
      </c>
      <c r="I131" s="119">
        <f>(EXP(-0.073) - 1) * 100</f>
        <v>-7.0399169974207254</v>
      </c>
      <c r="J131" s="119">
        <f>(EXP(0.111) - 1) * 100</f>
        <v>11.739490685445819</v>
      </c>
      <c r="K131" s="130">
        <v>0.60499999999999998</v>
      </c>
      <c r="L131" s="39">
        <v>244671</v>
      </c>
      <c r="M131" s="39">
        <v>68</v>
      </c>
      <c r="N131" s="19">
        <f t="shared" si="51"/>
        <v>27.79242329495527</v>
      </c>
      <c r="O131" s="19">
        <f t="shared" si="52"/>
        <v>3.3247634402029713</v>
      </c>
      <c r="P131" s="20">
        <v>2.9399999999999999E-2</v>
      </c>
      <c r="Q131" s="21">
        <f t="shared" ref="Q131" si="56">(EXP(P131)-1)*100</f>
        <v>2.9836446677869999</v>
      </c>
      <c r="R131" s="119">
        <f>(EXP(-0.123) - 1) * 100</f>
        <v>-11.57363374391791</v>
      </c>
      <c r="S131" s="119">
        <f>(EXP(0.182) - 1) * 100</f>
        <v>19.961419387986833</v>
      </c>
      <c r="T131" s="130">
        <v>0.62060000000000004</v>
      </c>
      <c r="U131" s="39">
        <v>112031</v>
      </c>
      <c r="V131" s="39">
        <v>145</v>
      </c>
      <c r="W131" s="19">
        <f t="shared" si="53"/>
        <v>129.42846176504716</v>
      </c>
      <c r="X131" s="19">
        <f t="shared" si="54"/>
        <v>4.8631283096973847</v>
      </c>
      <c r="Y131" s="20">
        <v>0.12909999999999999</v>
      </c>
      <c r="Z131" s="21">
        <f t="shared" ref="Z131" si="57">(EXP(Y131)-1)*100</f>
        <v>13.780389886678845</v>
      </c>
      <c r="AA131" s="119">
        <f>(EXP(0.084) - 1) * 100</f>
        <v>8.7628893808826103</v>
      </c>
      <c r="AB131" s="119">
        <f>(EXP(0.174) - 1) * 100</f>
        <v>19.005556582036263</v>
      </c>
      <c r="AC131" s="131">
        <v>1.2999999999999999E-3</v>
      </c>
      <c r="AD131" s="15" t="s">
        <v>113</v>
      </c>
      <c r="AE131" s="15" t="s">
        <v>114</v>
      </c>
      <c r="AF131" s="15"/>
      <c r="AG131" s="15"/>
      <c r="AH131" s="15" t="s">
        <v>113</v>
      </c>
      <c r="AI131" s="15" t="s">
        <v>114</v>
      </c>
      <c r="AJ131" s="15"/>
      <c r="AK131" s="15"/>
      <c r="AL131" s="15" t="s">
        <v>113</v>
      </c>
      <c r="AM131" s="15" t="s">
        <v>114</v>
      </c>
      <c r="AN131" s="15"/>
      <c r="AO131" s="15"/>
      <c r="AP131" s="15" t="s">
        <v>113</v>
      </c>
      <c r="AQ131" s="15" t="s">
        <v>108</v>
      </c>
      <c r="AR131" s="15"/>
      <c r="AS131" s="15"/>
      <c r="AT131" s="15" t="s">
        <v>113</v>
      </c>
      <c r="AU131" s="15" t="s">
        <v>108</v>
      </c>
      <c r="AV131" s="15"/>
      <c r="AW131" s="15"/>
      <c r="AX131" s="15" t="s">
        <v>113</v>
      </c>
      <c r="AY131" s="15" t="s">
        <v>108</v>
      </c>
      <c r="AZ131" s="15"/>
      <c r="BA131" s="15"/>
      <c r="BB131" s="15" t="s">
        <v>113</v>
      </c>
      <c r="BC131" s="15" t="s">
        <v>108</v>
      </c>
      <c r="BD131" s="15"/>
      <c r="BE131" s="15"/>
      <c r="BF131" s="15" t="s">
        <v>113</v>
      </c>
      <c r="BG131" s="15" t="s">
        <v>108</v>
      </c>
      <c r="BH131" s="15"/>
      <c r="BI131" s="15"/>
      <c r="BJ131" s="15" t="s">
        <v>113</v>
      </c>
      <c r="BK131" s="15" t="s">
        <v>108</v>
      </c>
      <c r="BL131" s="15"/>
      <c r="BM131" s="15"/>
      <c r="BN131" s="15" t="s">
        <v>113</v>
      </c>
      <c r="BO131" s="15" t="s">
        <v>108</v>
      </c>
      <c r="BP131" s="15"/>
      <c r="BQ131" s="15"/>
      <c r="BR131" s="15" t="s">
        <v>113</v>
      </c>
      <c r="BS131" s="15" t="s">
        <v>108</v>
      </c>
      <c r="BT131" s="15"/>
      <c r="BU131" s="15"/>
      <c r="BV131" s="15" t="s">
        <v>113</v>
      </c>
      <c r="BW131" s="15" t="s">
        <v>108</v>
      </c>
      <c r="BX131" s="15"/>
      <c r="BY131" s="15"/>
      <c r="BZ131" s="15" t="s">
        <v>113</v>
      </c>
      <c r="CA131" s="15" t="s">
        <v>108</v>
      </c>
      <c r="CB131" s="15"/>
      <c r="CC131" s="15"/>
      <c r="CD131" s="15" t="s">
        <v>113</v>
      </c>
      <c r="CE131" s="15" t="s">
        <v>108</v>
      </c>
      <c r="CF131" s="15"/>
      <c r="CG131" s="15"/>
      <c r="CH131" s="15" t="s">
        <v>113</v>
      </c>
      <c r="CI131" s="15" t="s">
        <v>108</v>
      </c>
      <c r="CJ131" s="15"/>
      <c r="CK131" s="15"/>
      <c r="CL131" s="15" t="s">
        <v>113</v>
      </c>
      <c r="CM131" s="15" t="s">
        <v>108</v>
      </c>
      <c r="CN131" s="15"/>
      <c r="CO131" s="15"/>
      <c r="CP131" s="15" t="s">
        <v>113</v>
      </c>
      <c r="CQ131" s="15" t="s">
        <v>108</v>
      </c>
      <c r="CR131" s="15"/>
      <c r="CS131" s="15"/>
      <c r="CT131" s="15" t="s">
        <v>113</v>
      </c>
      <c r="CU131" s="15" t="s">
        <v>108</v>
      </c>
      <c r="CV131" s="15"/>
      <c r="CW131" s="15"/>
      <c r="CX131" s="15" t="s">
        <v>113</v>
      </c>
      <c r="CY131" s="15" t="s">
        <v>108</v>
      </c>
      <c r="CZ131" s="15"/>
      <c r="DA131" s="15"/>
      <c r="DB131" s="15" t="s">
        <v>113</v>
      </c>
      <c r="DC131" s="15" t="s">
        <v>108</v>
      </c>
      <c r="DD131" s="15"/>
      <c r="DE131" s="15"/>
      <c r="DF131" s="15" t="s">
        <v>113</v>
      </c>
      <c r="DG131" s="15" t="s">
        <v>108</v>
      </c>
      <c r="DH131" s="15"/>
      <c r="DI131" s="15"/>
      <c r="DJ131" s="15" t="s">
        <v>113</v>
      </c>
      <c r="DK131" s="15" t="s">
        <v>108</v>
      </c>
      <c r="DL131" s="15"/>
      <c r="DM131" s="15"/>
      <c r="DN131" s="15" t="s">
        <v>113</v>
      </c>
      <c r="DO131" s="15" t="s">
        <v>108</v>
      </c>
      <c r="DP131" s="15"/>
      <c r="DQ131" s="15"/>
      <c r="DR131" s="15" t="s">
        <v>113</v>
      </c>
      <c r="DS131" s="15" t="s">
        <v>108</v>
      </c>
      <c r="DT131" s="15"/>
      <c r="DU131" s="15"/>
      <c r="DV131" s="15" t="s">
        <v>113</v>
      </c>
      <c r="DW131" s="15" t="s">
        <v>108</v>
      </c>
      <c r="DX131" s="15"/>
      <c r="DY131" s="15"/>
      <c r="DZ131" s="15" t="s">
        <v>113</v>
      </c>
      <c r="EA131" s="15" t="s">
        <v>108</v>
      </c>
      <c r="EB131" s="15"/>
      <c r="EC131" s="15"/>
      <c r="ED131" s="15" t="s">
        <v>113</v>
      </c>
      <c r="EE131" s="15" t="s">
        <v>108</v>
      </c>
      <c r="EF131" s="15"/>
      <c r="EG131" s="15"/>
    </row>
    <row r="132" spans="1:137" ht="15.6" thickTop="1" thickBot="1" x14ac:dyDescent="0.35">
      <c r="A132" s="43"/>
      <c r="B132" s="39">
        <v>2017</v>
      </c>
      <c r="C132" s="39">
        <v>459620</v>
      </c>
      <c r="D132" s="39">
        <v>14</v>
      </c>
      <c r="E132" s="19">
        <f t="shared" si="49"/>
        <v>3.045994517209869</v>
      </c>
      <c r="F132" s="19">
        <f t="shared" si="50"/>
        <v>1.1138274544745901</v>
      </c>
      <c r="G132" s="132"/>
      <c r="H132" s="21"/>
      <c r="I132" s="123"/>
      <c r="J132" s="123"/>
      <c r="K132" s="133"/>
      <c r="L132" s="39">
        <v>253638</v>
      </c>
      <c r="M132" s="39">
        <v>55</v>
      </c>
      <c r="N132" s="19">
        <f t="shared" si="51"/>
        <v>21.684447913956113</v>
      </c>
      <c r="O132" s="19">
        <f t="shared" si="52"/>
        <v>3.0765953176114298</v>
      </c>
      <c r="P132" s="25"/>
      <c r="Q132" s="21"/>
      <c r="R132" s="123"/>
      <c r="S132" s="123"/>
      <c r="T132" s="133"/>
      <c r="U132" s="39">
        <v>115292</v>
      </c>
      <c r="V132" s="39">
        <v>170</v>
      </c>
      <c r="W132" s="19">
        <f t="shared" si="53"/>
        <v>147.45168788814487</v>
      </c>
      <c r="X132" s="19">
        <f t="shared" si="54"/>
        <v>4.9935005823856269</v>
      </c>
      <c r="Y132" s="25"/>
      <c r="Z132" s="21"/>
      <c r="AA132" s="123"/>
      <c r="AB132" s="123"/>
      <c r="AC132" s="134"/>
      <c r="AD132" s="15" t="s">
        <v>116</v>
      </c>
      <c r="AE132" s="15">
        <v>3.5</v>
      </c>
      <c r="AF132" s="15"/>
      <c r="AG132" s="15"/>
      <c r="AH132" s="15" t="s">
        <v>116</v>
      </c>
      <c r="AI132" s="15">
        <v>3.5</v>
      </c>
      <c r="AJ132" s="15"/>
      <c r="AK132" s="15"/>
      <c r="AL132" s="15" t="s">
        <v>116</v>
      </c>
      <c r="AM132" s="15">
        <v>3.5</v>
      </c>
      <c r="AN132" s="15"/>
      <c r="AO132" s="15"/>
      <c r="AP132" s="15" t="s">
        <v>116</v>
      </c>
      <c r="AQ132" s="15">
        <v>3.5</v>
      </c>
      <c r="AR132" s="15"/>
      <c r="AS132" s="15"/>
      <c r="AT132" s="15" t="s">
        <v>116</v>
      </c>
      <c r="AU132" s="15">
        <v>3.5</v>
      </c>
      <c r="AV132" s="15"/>
      <c r="AW132" s="15"/>
      <c r="AX132" s="15" t="s">
        <v>116</v>
      </c>
      <c r="AY132" s="15">
        <v>3.5</v>
      </c>
      <c r="AZ132" s="15"/>
      <c r="BA132" s="15"/>
      <c r="BB132" s="15" t="s">
        <v>116</v>
      </c>
      <c r="BC132" s="15">
        <v>3.5</v>
      </c>
      <c r="BD132" s="15"/>
      <c r="BE132" s="15"/>
      <c r="BF132" s="15" t="s">
        <v>116</v>
      </c>
      <c r="BG132" s="15">
        <v>3.5</v>
      </c>
      <c r="BH132" s="15"/>
      <c r="BI132" s="15"/>
      <c r="BJ132" s="15" t="s">
        <v>116</v>
      </c>
      <c r="BK132" s="15">
        <v>3.5</v>
      </c>
      <c r="BL132" s="15"/>
      <c r="BM132" s="15"/>
      <c r="BN132" s="15" t="s">
        <v>116</v>
      </c>
      <c r="BO132" s="15">
        <v>3.5</v>
      </c>
      <c r="BP132" s="15"/>
      <c r="BQ132" s="15"/>
      <c r="BR132" s="15" t="s">
        <v>116</v>
      </c>
      <c r="BS132" s="15">
        <v>3.5</v>
      </c>
      <c r="BT132" s="15"/>
      <c r="BU132" s="15"/>
      <c r="BV132" s="15" t="s">
        <v>116</v>
      </c>
      <c r="BW132" s="15">
        <v>3.5</v>
      </c>
      <c r="BX132" s="15"/>
      <c r="BY132" s="15"/>
      <c r="BZ132" s="15" t="s">
        <v>116</v>
      </c>
      <c r="CA132" s="15">
        <v>3.5</v>
      </c>
      <c r="CB132" s="15"/>
      <c r="CC132" s="15"/>
      <c r="CD132" s="15" t="s">
        <v>116</v>
      </c>
      <c r="CE132" s="15">
        <v>3.5</v>
      </c>
      <c r="CF132" s="15"/>
      <c r="CG132" s="15"/>
      <c r="CH132" s="15" t="s">
        <v>116</v>
      </c>
      <c r="CI132" s="15">
        <v>3.5</v>
      </c>
      <c r="CJ132" s="15"/>
      <c r="CK132" s="15"/>
      <c r="CL132" s="15" t="s">
        <v>116</v>
      </c>
      <c r="CM132" s="15">
        <v>3.5</v>
      </c>
      <c r="CN132" s="15"/>
      <c r="CO132" s="15"/>
      <c r="CP132" s="15" t="s">
        <v>116</v>
      </c>
      <c r="CQ132" s="15">
        <v>3.5</v>
      </c>
      <c r="CR132" s="15"/>
      <c r="CS132" s="15"/>
      <c r="CT132" s="15" t="s">
        <v>116</v>
      </c>
      <c r="CU132" s="15">
        <v>3.5</v>
      </c>
      <c r="CV132" s="15"/>
      <c r="CW132" s="15"/>
      <c r="CX132" s="15" t="s">
        <v>116</v>
      </c>
      <c r="CY132" s="15">
        <v>3.5</v>
      </c>
      <c r="CZ132" s="15"/>
      <c r="DA132" s="15"/>
      <c r="DB132" s="15" t="s">
        <v>116</v>
      </c>
      <c r="DC132" s="15">
        <v>3.5</v>
      </c>
      <c r="DD132" s="15"/>
      <c r="DE132" s="15"/>
      <c r="DF132" s="15" t="s">
        <v>116</v>
      </c>
      <c r="DG132" s="15">
        <v>3.5</v>
      </c>
      <c r="DH132" s="15"/>
      <c r="DI132" s="15"/>
      <c r="DJ132" s="15" t="s">
        <v>116</v>
      </c>
      <c r="DK132" s="15">
        <v>3.5</v>
      </c>
      <c r="DL132" s="15"/>
      <c r="DM132" s="15"/>
      <c r="DN132" s="15" t="s">
        <v>116</v>
      </c>
      <c r="DO132" s="15">
        <v>3.5</v>
      </c>
      <c r="DP132" s="15"/>
      <c r="DQ132" s="15"/>
      <c r="DR132" s="15" t="s">
        <v>116</v>
      </c>
      <c r="DS132" s="15">
        <v>3.5</v>
      </c>
      <c r="DT132" s="15"/>
      <c r="DU132" s="15"/>
      <c r="DV132" s="15" t="s">
        <v>116</v>
      </c>
      <c r="DW132" s="15">
        <v>3.5</v>
      </c>
      <c r="DX132" s="15"/>
      <c r="DY132" s="15"/>
      <c r="DZ132" s="15" t="s">
        <v>116</v>
      </c>
      <c r="EA132" s="15">
        <v>3.5</v>
      </c>
      <c r="EB132" s="15"/>
      <c r="EC132" s="15"/>
      <c r="ED132" s="15" t="s">
        <v>116</v>
      </c>
      <c r="EE132" s="15">
        <v>3.5</v>
      </c>
      <c r="EF132" s="15"/>
      <c r="EG132" s="15"/>
    </row>
    <row r="133" spans="1:137" ht="15.6" thickTop="1" thickBot="1" x14ac:dyDescent="0.35">
      <c r="A133" s="43"/>
      <c r="B133" s="39">
        <v>2018</v>
      </c>
      <c r="C133" s="39">
        <v>474924</v>
      </c>
      <c r="D133" s="39">
        <v>14</v>
      </c>
      <c r="E133" s="19">
        <f t="shared" si="49"/>
        <v>2.9478400754647058</v>
      </c>
      <c r="F133" s="19">
        <f t="shared" si="50"/>
        <v>1.0810727243700742</v>
      </c>
      <c r="G133" s="132"/>
      <c r="H133" s="21"/>
      <c r="I133" s="123"/>
      <c r="J133" s="123"/>
      <c r="K133" s="133"/>
      <c r="L133" s="39">
        <v>262974</v>
      </c>
      <c r="M133" s="39">
        <v>72</v>
      </c>
      <c r="N133" s="19">
        <f t="shared" si="51"/>
        <v>27.37913253781743</v>
      </c>
      <c r="O133" s="19">
        <f t="shared" si="52"/>
        <v>3.3097811370288759</v>
      </c>
      <c r="P133" s="25"/>
      <c r="Q133" s="21"/>
      <c r="R133" s="123"/>
      <c r="S133" s="123"/>
      <c r="T133" s="133"/>
      <c r="U133" s="39">
        <v>118751</v>
      </c>
      <c r="V133" s="39">
        <v>199</v>
      </c>
      <c r="W133" s="19">
        <f t="shared" si="53"/>
        <v>167.57753618916894</v>
      </c>
      <c r="X133" s="19">
        <f t="shared" si="54"/>
        <v>5.1214461467806585</v>
      </c>
      <c r="Y133" s="25"/>
      <c r="Z133" s="21"/>
      <c r="AA133" s="123"/>
      <c r="AB133" s="123"/>
      <c r="AC133" s="134"/>
      <c r="AD133" s="15" t="s">
        <v>118</v>
      </c>
      <c r="AE133" s="15">
        <v>1.3149999999999999</v>
      </c>
      <c r="AF133" s="15"/>
      <c r="AG133" s="15"/>
      <c r="AH133" s="15" t="s">
        <v>118</v>
      </c>
      <c r="AI133" s="15">
        <v>3.42</v>
      </c>
      <c r="AJ133" s="15"/>
      <c r="AK133" s="15"/>
      <c r="AL133" s="15" t="s">
        <v>118</v>
      </c>
      <c r="AM133" s="15">
        <v>5.3367000000000004</v>
      </c>
      <c r="AN133" s="15"/>
      <c r="AO133" s="15"/>
      <c r="AP133" s="15" t="s">
        <v>118</v>
      </c>
      <c r="AQ133" s="15">
        <v>1.2282999999999999</v>
      </c>
      <c r="AR133" s="15"/>
      <c r="AS133" s="15"/>
      <c r="AT133" s="15" t="s">
        <v>118</v>
      </c>
      <c r="AU133" s="15">
        <v>3.3416999999999999</v>
      </c>
      <c r="AV133" s="15"/>
      <c r="AW133" s="15"/>
      <c r="AX133" s="15" t="s">
        <v>118</v>
      </c>
      <c r="AY133" s="15">
        <v>5.2032999999999996</v>
      </c>
      <c r="AZ133" s="15"/>
      <c r="BA133" s="15"/>
      <c r="BB133" s="15" t="s">
        <v>118</v>
      </c>
      <c r="BC133" s="15">
        <v>1.61</v>
      </c>
      <c r="BD133" s="15"/>
      <c r="BE133" s="15"/>
      <c r="BF133" s="15" t="s">
        <v>118</v>
      </c>
      <c r="BG133" s="15">
        <v>3.6732999999999998</v>
      </c>
      <c r="BH133" s="15"/>
      <c r="BI133" s="15"/>
      <c r="BJ133" s="15" t="s">
        <v>118</v>
      </c>
      <c r="BK133" s="15">
        <v>5.6666999999999996</v>
      </c>
      <c r="BL133" s="15"/>
      <c r="BM133" s="15"/>
      <c r="BN133" s="15" t="s">
        <v>118</v>
      </c>
      <c r="BO133" s="15">
        <v>1.0532999999999999</v>
      </c>
      <c r="BP133" s="15"/>
      <c r="BQ133" s="15"/>
      <c r="BR133" s="15" t="s">
        <v>118</v>
      </c>
      <c r="BS133" s="15">
        <v>3.07</v>
      </c>
      <c r="BT133" s="15"/>
      <c r="BU133" s="15"/>
      <c r="BV133" s="15" t="s">
        <v>118</v>
      </c>
      <c r="BW133" s="15">
        <v>4.8282999999999996</v>
      </c>
      <c r="BX133" s="15"/>
      <c r="BY133" s="15"/>
      <c r="BZ133" s="15" t="s">
        <v>118</v>
      </c>
      <c r="CA133" s="15">
        <v>1.3667</v>
      </c>
      <c r="CB133" s="15"/>
      <c r="CC133" s="15"/>
      <c r="CD133" s="15" t="s">
        <v>118</v>
      </c>
      <c r="CE133" s="15">
        <v>3.7982999999999998</v>
      </c>
      <c r="CF133" s="15"/>
      <c r="CG133" s="15"/>
      <c r="CH133" s="15" t="s">
        <v>118</v>
      </c>
      <c r="CI133" s="15">
        <v>5.66</v>
      </c>
      <c r="CJ133" s="15"/>
      <c r="CK133" s="15"/>
      <c r="CL133" s="15" t="s">
        <v>118</v>
      </c>
      <c r="CM133" s="15">
        <v>1.6083000000000001</v>
      </c>
      <c r="CN133" s="15"/>
      <c r="CO133" s="15"/>
      <c r="CP133" s="15" t="s">
        <v>118</v>
      </c>
      <c r="CQ133" s="15">
        <v>3.8967000000000001</v>
      </c>
      <c r="CR133" s="15"/>
      <c r="CS133" s="15"/>
      <c r="CT133" s="15" t="s">
        <v>118</v>
      </c>
      <c r="CU133" s="15">
        <v>5.6550000000000002</v>
      </c>
      <c r="CV133" s="15"/>
      <c r="CW133" s="15"/>
      <c r="CX133" s="15" t="s">
        <v>118</v>
      </c>
      <c r="CY133" s="15">
        <v>1.0449999999999999</v>
      </c>
      <c r="CZ133" s="15"/>
      <c r="DA133" s="15"/>
      <c r="DB133" s="15" t="s">
        <v>118</v>
      </c>
      <c r="DC133" s="15">
        <v>3.52</v>
      </c>
      <c r="DD133" s="15"/>
      <c r="DE133" s="15"/>
      <c r="DF133" s="15" t="s">
        <v>118</v>
      </c>
      <c r="DG133" s="15">
        <v>5.2882999999999996</v>
      </c>
      <c r="DH133" s="15"/>
      <c r="DI133" s="15"/>
      <c r="DJ133" s="15" t="s">
        <v>118</v>
      </c>
      <c r="DK133" s="15">
        <v>1.5083</v>
      </c>
      <c r="DL133" s="15"/>
      <c r="DM133" s="15"/>
      <c r="DN133" s="15" t="s">
        <v>118</v>
      </c>
      <c r="DO133" s="15">
        <v>3.8</v>
      </c>
      <c r="DP133" s="15"/>
      <c r="DQ133" s="15"/>
      <c r="DR133" s="15" t="s">
        <v>118</v>
      </c>
      <c r="DS133" s="15">
        <v>5.8232999999999997</v>
      </c>
      <c r="DT133" s="15"/>
      <c r="DU133" s="15"/>
      <c r="DV133" s="15" t="s">
        <v>118</v>
      </c>
      <c r="DW133" s="15">
        <v>1.6333</v>
      </c>
      <c r="DX133" s="15"/>
      <c r="DY133" s="15"/>
      <c r="DZ133" s="15" t="s">
        <v>118</v>
      </c>
      <c r="EA133" s="15">
        <v>3.7383000000000002</v>
      </c>
      <c r="EB133" s="15"/>
      <c r="EC133" s="15"/>
      <c r="ED133" s="15" t="s">
        <v>118</v>
      </c>
      <c r="EE133" s="15">
        <v>5.6566999999999998</v>
      </c>
      <c r="EF133" s="15"/>
      <c r="EG133" s="15"/>
    </row>
    <row r="134" spans="1:137" ht="15.6" thickTop="1" thickBot="1" x14ac:dyDescent="0.35">
      <c r="A134" s="43"/>
      <c r="B134" s="39">
        <v>2019</v>
      </c>
      <c r="C134" s="39">
        <v>491035</v>
      </c>
      <c r="D134" s="39">
        <v>18</v>
      </c>
      <c r="E134" s="19">
        <f t="shared" si="49"/>
        <v>3.6657264757094712</v>
      </c>
      <c r="F134" s="19">
        <f t="shared" si="50"/>
        <v>1.2990265355345316</v>
      </c>
      <c r="G134" s="132"/>
      <c r="H134" s="21"/>
      <c r="I134" s="123"/>
      <c r="J134" s="123"/>
      <c r="K134" s="133"/>
      <c r="L134" s="39">
        <v>272502</v>
      </c>
      <c r="M134" s="39">
        <v>98</v>
      </c>
      <c r="N134" s="19">
        <f t="shared" si="51"/>
        <v>35.963038803384933</v>
      </c>
      <c r="O134" s="19">
        <f t="shared" si="52"/>
        <v>3.5824917111327568</v>
      </c>
      <c r="P134" s="25"/>
      <c r="Q134" s="21"/>
      <c r="R134" s="123"/>
      <c r="S134" s="123"/>
      <c r="T134" s="133"/>
      <c r="U134" s="39">
        <v>122183</v>
      </c>
      <c r="V134" s="39">
        <v>266</v>
      </c>
      <c r="W134" s="19">
        <f t="shared" si="53"/>
        <v>217.70622754393003</v>
      </c>
      <c r="X134" s="19">
        <f t="shared" si="54"/>
        <v>5.3831465739127982</v>
      </c>
      <c r="Y134" s="25"/>
      <c r="Z134" s="21"/>
      <c r="AA134" s="123"/>
      <c r="AB134" s="123"/>
      <c r="AC134" s="134"/>
      <c r="AD134" s="15" t="s">
        <v>125</v>
      </c>
      <c r="AE134" s="15">
        <v>0.39950000000000002</v>
      </c>
      <c r="AF134" s="15"/>
      <c r="AG134" s="15"/>
      <c r="AH134" s="15" t="s">
        <v>125</v>
      </c>
      <c r="AI134" s="15">
        <v>0.192</v>
      </c>
      <c r="AJ134" s="15"/>
      <c r="AK134" s="15"/>
      <c r="AL134" s="15" t="s">
        <v>125</v>
      </c>
      <c r="AM134" s="15">
        <v>0.5665</v>
      </c>
      <c r="AN134" s="15"/>
      <c r="AO134" s="15"/>
      <c r="AP134" s="15" t="s">
        <v>125</v>
      </c>
      <c r="AQ134" s="15">
        <v>7.2800000000000004E-2</v>
      </c>
      <c r="AR134" s="15"/>
      <c r="AS134" s="15"/>
      <c r="AT134" s="15" t="s">
        <v>125</v>
      </c>
      <c r="AU134" s="15">
        <v>6.6900000000000001E-2</v>
      </c>
      <c r="AV134" s="15"/>
      <c r="AW134" s="15"/>
      <c r="AX134" s="15" t="s">
        <v>125</v>
      </c>
      <c r="AY134" s="15">
        <v>0.94110000000000005</v>
      </c>
      <c r="AZ134" s="15"/>
      <c r="BA134" s="15"/>
      <c r="BB134" s="15" t="s">
        <v>125</v>
      </c>
      <c r="BC134" s="15">
        <v>1.37E-2</v>
      </c>
      <c r="BD134" s="15"/>
      <c r="BE134" s="15"/>
      <c r="BF134" s="15" t="s">
        <v>125</v>
      </c>
      <c r="BG134" s="15">
        <v>0.38690000000000002</v>
      </c>
      <c r="BH134" s="15"/>
      <c r="BI134" s="15"/>
      <c r="BJ134" s="15" t="s">
        <v>125</v>
      </c>
      <c r="BK134" s="15">
        <v>0.88560000000000005</v>
      </c>
      <c r="BL134" s="15"/>
      <c r="BM134" s="15"/>
      <c r="BN134" s="15" t="s">
        <v>125</v>
      </c>
      <c r="BO134" s="15">
        <v>3.6700000000000003E-2</v>
      </c>
      <c r="BP134" s="15"/>
      <c r="BQ134" s="15"/>
      <c r="BR134" s="15" t="s">
        <v>125</v>
      </c>
      <c r="BS134" s="15">
        <v>3.5999999999999999E-3</v>
      </c>
      <c r="BT134" s="15"/>
      <c r="BU134" s="15"/>
      <c r="BV134" s="15" t="s">
        <v>125</v>
      </c>
      <c r="BW134" s="15">
        <v>0.61529999999999996</v>
      </c>
      <c r="BX134" s="15"/>
      <c r="BY134" s="15"/>
      <c r="BZ134" s="15" t="s">
        <v>125</v>
      </c>
      <c r="CA134" s="15">
        <v>1.66E-2</v>
      </c>
      <c r="CB134" s="15"/>
      <c r="CC134" s="15"/>
      <c r="CD134" s="15" t="s">
        <v>125</v>
      </c>
      <c r="CE134" s="15">
        <v>0.39800000000000002</v>
      </c>
      <c r="CF134" s="15"/>
      <c r="CG134" s="15"/>
      <c r="CH134" s="15" t="s">
        <v>125</v>
      </c>
      <c r="CI134" s="15">
        <v>0.94930000000000003</v>
      </c>
      <c r="CJ134" s="15"/>
      <c r="CK134" s="15"/>
      <c r="CL134" s="15" t="s">
        <v>125</v>
      </c>
      <c r="CM134" s="15">
        <v>6.6299999999999998E-2</v>
      </c>
      <c r="CN134" s="15"/>
      <c r="CO134" s="15"/>
      <c r="CP134" s="15" t="s">
        <v>125</v>
      </c>
      <c r="CQ134" s="15">
        <v>0.311</v>
      </c>
      <c r="CR134" s="15"/>
      <c r="CS134" s="15"/>
      <c r="CT134" s="15" t="s">
        <v>125</v>
      </c>
      <c r="CU134" s="15">
        <v>0.57599999999999996</v>
      </c>
      <c r="CV134" s="15"/>
      <c r="CW134" s="15"/>
      <c r="CX134" s="15" t="s">
        <v>125</v>
      </c>
      <c r="CY134" s="15">
        <v>0.24740000000000001</v>
      </c>
      <c r="CZ134" s="15"/>
      <c r="DA134" s="15"/>
      <c r="DB134" s="15" t="s">
        <v>125</v>
      </c>
      <c r="DC134" s="15">
        <v>0.70899999999999996</v>
      </c>
      <c r="DD134" s="15"/>
      <c r="DE134" s="15"/>
      <c r="DF134" s="15" t="s">
        <v>125</v>
      </c>
      <c r="DG134" s="15">
        <v>0.66949999999999998</v>
      </c>
      <c r="DH134" s="15"/>
      <c r="DI134" s="15"/>
      <c r="DJ134" s="15" t="s">
        <v>125</v>
      </c>
      <c r="DK134" s="15">
        <v>0.76580000000000004</v>
      </c>
      <c r="DL134" s="15"/>
      <c r="DM134" s="15"/>
      <c r="DN134" s="15" t="s">
        <v>125</v>
      </c>
      <c r="DO134" s="15">
        <v>8.0199999999999994E-2</v>
      </c>
      <c r="DP134" s="15"/>
      <c r="DQ134" s="15"/>
      <c r="DR134" s="15" t="s">
        <v>125</v>
      </c>
      <c r="DS134" s="15">
        <v>0.66239999999999999</v>
      </c>
      <c r="DT134" s="15"/>
      <c r="DU134" s="15"/>
      <c r="DV134" s="15" t="s">
        <v>125</v>
      </c>
      <c r="DW134" s="15">
        <v>0.19789999999999999</v>
      </c>
      <c r="DX134" s="15"/>
      <c r="DY134" s="15"/>
      <c r="DZ134" s="15" t="s">
        <v>125</v>
      </c>
      <c r="EA134" s="15">
        <v>0.17130000000000001</v>
      </c>
      <c r="EB134" s="15"/>
      <c r="EC134" s="15"/>
      <c r="ED134" s="15" t="s">
        <v>125</v>
      </c>
      <c r="EE134" s="15">
        <v>0.75229999999999997</v>
      </c>
      <c r="EF134" s="15"/>
      <c r="EG134" s="15"/>
    </row>
    <row r="135" spans="1:137" ht="15.6" thickTop="1" thickBot="1" x14ac:dyDescent="0.35">
      <c r="A135" s="43"/>
      <c r="B135" s="39">
        <v>2020</v>
      </c>
      <c r="C135" s="39">
        <v>507229</v>
      </c>
      <c r="D135" s="39">
        <v>21</v>
      </c>
      <c r="E135" s="19">
        <f t="shared" si="49"/>
        <v>4.1401418294300996</v>
      </c>
      <c r="F135" s="19">
        <f t="shared" si="50"/>
        <v>1.4207300455668694</v>
      </c>
      <c r="G135" s="132"/>
      <c r="H135" s="21"/>
      <c r="I135" s="123"/>
      <c r="J135" s="123"/>
      <c r="K135" s="133"/>
      <c r="L135" s="39">
        <v>281595</v>
      </c>
      <c r="M135" s="39">
        <v>103</v>
      </c>
      <c r="N135" s="19">
        <f t="shared" si="51"/>
        <v>36.577354001313942</v>
      </c>
      <c r="O135" s="19">
        <f t="shared" si="52"/>
        <v>3.5994293057732918</v>
      </c>
      <c r="P135" s="25"/>
      <c r="Q135" s="21"/>
      <c r="R135" s="123"/>
      <c r="S135" s="123"/>
      <c r="T135" s="133"/>
      <c r="U135" s="39">
        <v>125167</v>
      </c>
      <c r="V135" s="39">
        <v>281</v>
      </c>
      <c r="W135" s="19">
        <f t="shared" si="53"/>
        <v>224.50006790927321</v>
      </c>
      <c r="X135" s="19">
        <f t="shared" si="54"/>
        <v>5.4138760096734577</v>
      </c>
      <c r="Y135" s="25"/>
      <c r="Z135" s="21"/>
      <c r="AA135" s="123"/>
      <c r="AB135" s="123"/>
      <c r="AC135" s="134"/>
      <c r="AD135" s="15" t="s">
        <v>132</v>
      </c>
      <c r="AE135" s="15">
        <v>0.24940000000000001</v>
      </c>
      <c r="AF135" s="15"/>
      <c r="AG135" s="15"/>
      <c r="AH135" s="15" t="s">
        <v>132</v>
      </c>
      <c r="AI135" s="15">
        <v>-0.01</v>
      </c>
      <c r="AJ135" s="15"/>
      <c r="AK135" s="15"/>
      <c r="AL135" s="15" t="s">
        <v>132</v>
      </c>
      <c r="AM135" s="15">
        <v>0.45810000000000001</v>
      </c>
      <c r="AN135" s="15"/>
      <c r="AO135" s="15"/>
      <c r="AP135" s="15" t="s">
        <v>132</v>
      </c>
      <c r="AQ135" s="15">
        <v>-0.159</v>
      </c>
      <c r="AR135" s="15"/>
      <c r="AS135" s="15"/>
      <c r="AT135" s="15" t="s">
        <v>132</v>
      </c>
      <c r="AU135" s="15">
        <v>-0.16639999999999999</v>
      </c>
      <c r="AV135" s="15"/>
      <c r="AW135" s="15"/>
      <c r="AX135" s="15" t="s">
        <v>132</v>
      </c>
      <c r="AY135" s="15">
        <v>0.9264</v>
      </c>
      <c r="AZ135" s="15"/>
      <c r="BA135" s="15"/>
      <c r="BB135" s="15" t="s">
        <v>132</v>
      </c>
      <c r="BC135" s="15">
        <v>-0.2329</v>
      </c>
      <c r="BD135" s="15"/>
      <c r="BE135" s="15"/>
      <c r="BF135" s="15" t="s">
        <v>132</v>
      </c>
      <c r="BG135" s="15">
        <v>0.2336</v>
      </c>
      <c r="BH135" s="15"/>
      <c r="BI135" s="15"/>
      <c r="BJ135" s="15" t="s">
        <v>132</v>
      </c>
      <c r="BK135" s="15">
        <v>0.85699999999999998</v>
      </c>
      <c r="BL135" s="15"/>
      <c r="BM135" s="15"/>
      <c r="BN135" s="15" t="s">
        <v>132</v>
      </c>
      <c r="BO135" s="15">
        <v>-0.2041</v>
      </c>
      <c r="BP135" s="15"/>
      <c r="BQ135" s="15"/>
      <c r="BR135" s="15" t="s">
        <v>132</v>
      </c>
      <c r="BS135" s="15">
        <v>-0.2455</v>
      </c>
      <c r="BT135" s="15"/>
      <c r="BU135" s="15"/>
      <c r="BV135" s="15" t="s">
        <v>132</v>
      </c>
      <c r="BW135" s="15">
        <v>0.51910000000000001</v>
      </c>
      <c r="BX135" s="15"/>
      <c r="BY135" s="15"/>
      <c r="BZ135" s="15" t="s">
        <v>132</v>
      </c>
      <c r="CA135" s="15">
        <v>-0.2293</v>
      </c>
      <c r="CB135" s="15"/>
      <c r="CC135" s="15"/>
      <c r="CD135" s="15" t="s">
        <v>132</v>
      </c>
      <c r="CE135" s="15">
        <v>0.2475</v>
      </c>
      <c r="CF135" s="15"/>
      <c r="CG135" s="15"/>
      <c r="CH135" s="15" t="s">
        <v>132</v>
      </c>
      <c r="CI135" s="15">
        <v>0.93659999999999999</v>
      </c>
      <c r="CJ135" s="15"/>
      <c r="CK135" s="15"/>
      <c r="CL135" s="15" t="s">
        <v>132</v>
      </c>
      <c r="CM135" s="15">
        <v>-0.16719999999999999</v>
      </c>
      <c r="CN135" s="15"/>
      <c r="CO135" s="15"/>
      <c r="CP135" s="15" t="s">
        <v>132</v>
      </c>
      <c r="CQ135" s="15">
        <v>0.13880000000000001</v>
      </c>
      <c r="CR135" s="15"/>
      <c r="CS135" s="15"/>
      <c r="CT135" s="15" t="s">
        <v>132</v>
      </c>
      <c r="CU135" s="15">
        <v>0.47</v>
      </c>
      <c r="CV135" s="15"/>
      <c r="CW135" s="15"/>
      <c r="CX135" s="15" t="s">
        <v>132</v>
      </c>
      <c r="CY135" s="15">
        <v>5.9299999999999999E-2</v>
      </c>
      <c r="CZ135" s="15"/>
      <c r="DA135" s="15"/>
      <c r="DB135" s="15" t="s">
        <v>132</v>
      </c>
      <c r="DC135" s="15">
        <v>0.63629999999999998</v>
      </c>
      <c r="DD135" s="15"/>
      <c r="DE135" s="15"/>
      <c r="DF135" s="15" t="s">
        <v>132</v>
      </c>
      <c r="DG135" s="15">
        <v>0.58689999999999998</v>
      </c>
      <c r="DH135" s="15"/>
      <c r="DI135" s="15"/>
      <c r="DJ135" s="15" t="s">
        <v>132</v>
      </c>
      <c r="DK135" s="15">
        <v>0.70720000000000005</v>
      </c>
      <c r="DL135" s="15"/>
      <c r="DM135" s="15"/>
      <c r="DN135" s="15" t="s">
        <v>132</v>
      </c>
      <c r="DO135" s="15">
        <v>-0.14979999999999999</v>
      </c>
      <c r="DP135" s="15"/>
      <c r="DQ135" s="15"/>
      <c r="DR135" s="15" t="s">
        <v>132</v>
      </c>
      <c r="DS135" s="15">
        <v>0.57799999999999996</v>
      </c>
      <c r="DT135" s="15"/>
      <c r="DU135" s="15"/>
      <c r="DV135" s="15" t="s">
        <v>132</v>
      </c>
      <c r="DW135" s="15">
        <v>-2.5999999999999999E-3</v>
      </c>
      <c r="DX135" s="15"/>
      <c r="DY135" s="15"/>
      <c r="DZ135" s="15" t="s">
        <v>132</v>
      </c>
      <c r="EA135" s="15">
        <v>-3.5900000000000001E-2</v>
      </c>
      <c r="EB135" s="15"/>
      <c r="EC135" s="15"/>
      <c r="ED135" s="15" t="s">
        <v>132</v>
      </c>
      <c r="EE135" s="15">
        <v>0.69040000000000001</v>
      </c>
      <c r="EF135" s="15"/>
      <c r="EG135" s="15"/>
    </row>
    <row r="136" spans="1:137" ht="15.6" thickTop="1" thickBot="1" x14ac:dyDescent="0.35">
      <c r="A136" s="47"/>
      <c r="B136" s="39">
        <v>2021</v>
      </c>
      <c r="C136" s="39">
        <v>523399</v>
      </c>
      <c r="D136" s="39">
        <v>17</v>
      </c>
      <c r="E136" s="19">
        <f t="shared" si="49"/>
        <v>3.2480000917082377</v>
      </c>
      <c r="F136" s="19">
        <f t="shared" si="50"/>
        <v>1.178039450534726</v>
      </c>
      <c r="G136" s="135"/>
      <c r="H136" s="21"/>
      <c r="I136" s="126"/>
      <c r="J136" s="126"/>
      <c r="K136" s="136"/>
      <c r="L136" s="39">
        <v>289798</v>
      </c>
      <c r="M136" s="39">
        <v>68</v>
      </c>
      <c r="N136" s="19">
        <f t="shared" si="51"/>
        <v>23.464620183714175</v>
      </c>
      <c r="O136" s="19">
        <f t="shared" si="52"/>
        <v>3.1554937626126796</v>
      </c>
      <c r="P136" s="34"/>
      <c r="Q136" s="21"/>
      <c r="R136" s="126"/>
      <c r="S136" s="126"/>
      <c r="T136" s="136"/>
      <c r="U136" s="39">
        <v>127304</v>
      </c>
      <c r="V136" s="39">
        <v>298</v>
      </c>
      <c r="W136" s="19">
        <f t="shared" si="53"/>
        <v>234.08533903098095</v>
      </c>
      <c r="X136" s="19">
        <f t="shared" si="54"/>
        <v>5.4556857455856127</v>
      </c>
      <c r="Y136" s="34"/>
      <c r="Z136" s="21"/>
      <c r="AA136" s="126"/>
      <c r="AB136" s="126"/>
      <c r="AC136" s="137"/>
      <c r="AD136" s="15" t="s">
        <v>139</v>
      </c>
      <c r="AE136" s="15">
        <v>0.6321</v>
      </c>
      <c r="AF136" s="15"/>
      <c r="AG136" s="15"/>
      <c r="AH136" s="15" t="s">
        <v>139</v>
      </c>
      <c r="AI136" s="15">
        <v>0.43819999999999998</v>
      </c>
      <c r="AJ136" s="15"/>
      <c r="AK136" s="15"/>
      <c r="AL136" s="15" t="s">
        <v>139</v>
      </c>
      <c r="AM136" s="15">
        <v>0.75270000000000004</v>
      </c>
      <c r="AN136" s="15"/>
      <c r="AO136" s="15"/>
      <c r="AP136" s="15" t="s">
        <v>139</v>
      </c>
      <c r="AQ136" s="15">
        <v>0.26989999999999997</v>
      </c>
      <c r="AR136" s="15"/>
      <c r="AS136" s="15"/>
      <c r="AT136" s="15" t="s">
        <v>139</v>
      </c>
      <c r="AU136" s="15">
        <v>0.25869999999999999</v>
      </c>
      <c r="AV136" s="15"/>
      <c r="AW136" s="15"/>
      <c r="AX136" s="15" t="s">
        <v>139</v>
      </c>
      <c r="AY136" s="15">
        <v>0.97009999999999996</v>
      </c>
      <c r="AZ136" s="15"/>
      <c r="BA136" s="15"/>
      <c r="BB136" s="15" t="s">
        <v>139</v>
      </c>
      <c r="BC136" s="15">
        <v>0.1169</v>
      </c>
      <c r="BD136" s="15"/>
      <c r="BE136" s="15"/>
      <c r="BF136" s="15" t="s">
        <v>139</v>
      </c>
      <c r="BG136" s="15">
        <v>0.622</v>
      </c>
      <c r="BH136" s="15"/>
      <c r="BI136" s="15"/>
      <c r="BJ136" s="15" t="s">
        <v>139</v>
      </c>
      <c r="BK136" s="15">
        <v>0.94110000000000005</v>
      </c>
      <c r="BL136" s="15"/>
      <c r="BM136" s="15"/>
      <c r="BN136" s="15" t="s">
        <v>139</v>
      </c>
      <c r="BO136" s="15">
        <v>0.19159999999999999</v>
      </c>
      <c r="BP136" s="15"/>
      <c r="BQ136" s="15"/>
      <c r="BR136" s="15" t="s">
        <v>139</v>
      </c>
      <c r="BS136" s="15">
        <v>6.0299999999999999E-2</v>
      </c>
      <c r="BT136" s="15"/>
      <c r="BU136" s="15"/>
      <c r="BV136" s="15" t="s">
        <v>139</v>
      </c>
      <c r="BW136" s="15">
        <v>0.78439999999999999</v>
      </c>
      <c r="BX136" s="15"/>
      <c r="BY136" s="15"/>
      <c r="BZ136" s="15" t="s">
        <v>139</v>
      </c>
      <c r="CA136" s="15">
        <v>0.12870000000000001</v>
      </c>
      <c r="CB136" s="15"/>
      <c r="CC136" s="15"/>
      <c r="CD136" s="15" t="s">
        <v>139</v>
      </c>
      <c r="CE136" s="15">
        <v>0.63090000000000002</v>
      </c>
      <c r="CF136" s="15"/>
      <c r="CG136" s="15"/>
      <c r="CH136" s="15" t="s">
        <v>139</v>
      </c>
      <c r="CI136" s="15">
        <v>0.97430000000000005</v>
      </c>
      <c r="CJ136" s="15"/>
      <c r="CK136" s="15"/>
      <c r="CL136" s="15" t="s">
        <v>139</v>
      </c>
      <c r="CM136" s="15">
        <v>0.25740000000000002</v>
      </c>
      <c r="CN136" s="15"/>
      <c r="CO136" s="15"/>
      <c r="CP136" s="15" t="s">
        <v>139</v>
      </c>
      <c r="CQ136" s="15">
        <v>0.55769999999999997</v>
      </c>
      <c r="CR136" s="15"/>
      <c r="CS136" s="15"/>
      <c r="CT136" s="15" t="s">
        <v>139</v>
      </c>
      <c r="CU136" s="15">
        <v>0.75900000000000001</v>
      </c>
      <c r="CV136" s="15"/>
      <c r="CW136" s="15"/>
      <c r="CX136" s="15" t="s">
        <v>139</v>
      </c>
      <c r="CY136" s="15">
        <v>0.49740000000000001</v>
      </c>
      <c r="CZ136" s="15"/>
      <c r="DA136" s="15"/>
      <c r="DB136" s="15" t="s">
        <v>139</v>
      </c>
      <c r="DC136" s="15">
        <v>0.84209999999999996</v>
      </c>
      <c r="DD136" s="15"/>
      <c r="DE136" s="15"/>
      <c r="DF136" s="15" t="s">
        <v>139</v>
      </c>
      <c r="DG136" s="15">
        <v>0.81830000000000003</v>
      </c>
      <c r="DH136" s="15"/>
      <c r="DI136" s="15"/>
      <c r="DJ136" s="15" t="s">
        <v>139</v>
      </c>
      <c r="DK136" s="15">
        <v>0.87509999999999999</v>
      </c>
      <c r="DL136" s="15"/>
      <c r="DM136" s="15"/>
      <c r="DN136" s="15" t="s">
        <v>139</v>
      </c>
      <c r="DO136" s="15">
        <v>0.28320000000000001</v>
      </c>
      <c r="DP136" s="15"/>
      <c r="DQ136" s="15"/>
      <c r="DR136" s="15" t="s">
        <v>139</v>
      </c>
      <c r="DS136" s="15">
        <v>0.81389999999999996</v>
      </c>
      <c r="DT136" s="15"/>
      <c r="DU136" s="15"/>
      <c r="DV136" s="15" t="s">
        <v>139</v>
      </c>
      <c r="DW136" s="15">
        <v>0.44490000000000002</v>
      </c>
      <c r="DX136" s="15"/>
      <c r="DY136" s="15"/>
      <c r="DZ136" s="15" t="s">
        <v>139</v>
      </c>
      <c r="EA136" s="15">
        <v>0.41389999999999999</v>
      </c>
      <c r="EB136" s="15"/>
      <c r="EC136" s="15"/>
      <c r="ED136" s="15" t="s">
        <v>139</v>
      </c>
      <c r="EE136" s="15">
        <v>0.86729999999999996</v>
      </c>
      <c r="EF136" s="15"/>
      <c r="EG136" s="15"/>
    </row>
    <row r="137" spans="1:137" ht="15.6" thickTop="1" thickBot="1" x14ac:dyDescent="0.35">
      <c r="A137" s="16" t="s">
        <v>146</v>
      </c>
      <c r="B137" s="17">
        <v>2016</v>
      </c>
      <c r="C137" s="17">
        <v>258858</v>
      </c>
      <c r="D137" s="17">
        <v>12</v>
      </c>
      <c r="E137" s="19">
        <f t="shared" si="49"/>
        <v>4.6357462392508628</v>
      </c>
      <c r="F137" s="19">
        <f t="shared" si="50"/>
        <v>1.5337971869756843</v>
      </c>
      <c r="G137" s="20">
        <v>1.49E-2</v>
      </c>
      <c r="H137" s="21">
        <f t="shared" ref="H137" si="58">(EXP(G137)-1)*100</f>
        <v>1.5011558384653512</v>
      </c>
      <c r="I137" s="119">
        <f>(EXP(-0.16) - 1) * 100</f>
        <v>-14.785621103378865</v>
      </c>
      <c r="J137" s="119">
        <f>(EXP(0.19) - 1) * 100</f>
        <v>20.924959765725148</v>
      </c>
      <c r="K137" s="120">
        <v>0.82550000000000001</v>
      </c>
      <c r="L137" s="17">
        <v>150122</v>
      </c>
      <c r="M137" s="17">
        <v>39</v>
      </c>
      <c r="N137" s="19">
        <f t="shared" si="51"/>
        <v>25.978870518644836</v>
      </c>
      <c r="O137" s="19">
        <f t="shared" si="52"/>
        <v>3.2572835352644707</v>
      </c>
      <c r="P137" s="20">
        <v>7.5399999999999995E-2</v>
      </c>
      <c r="Q137" s="21">
        <f t="shared" ref="Q137" si="59">(EXP(P137)-1)*100</f>
        <v>7.8315390787216055</v>
      </c>
      <c r="R137" s="119">
        <f>(EXP(-0.056) - 1) * 100</f>
        <v>-5.4460864109603708</v>
      </c>
      <c r="S137" s="119">
        <f>(EXP(0.207) - 1) * 100</f>
        <v>22.998257178075264</v>
      </c>
      <c r="T137" s="120">
        <v>0.18720000000000001</v>
      </c>
      <c r="U137" s="17">
        <v>72305</v>
      </c>
      <c r="V137" s="17">
        <v>167</v>
      </c>
      <c r="W137" s="19">
        <f t="shared" si="53"/>
        <v>230.9660466081184</v>
      </c>
      <c r="X137" s="19">
        <f t="shared" si="54"/>
        <v>5.4422707153380907</v>
      </c>
      <c r="Y137" s="20">
        <v>6.5699999999999995E-2</v>
      </c>
      <c r="Z137" s="21">
        <f t="shared" ref="Z137" si="60">(EXP(Y137)-1)*100</f>
        <v>6.7906297216239198</v>
      </c>
      <c r="AA137" s="119">
        <f>(EXP(0.033) - 1) * 100</f>
        <v>3.3550539241305577</v>
      </c>
      <c r="AB137" s="119">
        <f>(EXP(0.098) - 1) * 100</f>
        <v>10.296278510850776</v>
      </c>
      <c r="AC137" s="121">
        <v>5.1000000000000004E-3</v>
      </c>
      <c r="AD137" s="15" t="s">
        <v>147</v>
      </c>
      <c r="AE137" s="15">
        <v>1.776</v>
      </c>
      <c r="AF137" s="15" t="s">
        <v>566</v>
      </c>
      <c r="AG137" s="15" t="s">
        <v>567</v>
      </c>
      <c r="AH137" s="15" t="s">
        <v>147</v>
      </c>
      <c r="AI137" s="15">
        <v>3.278</v>
      </c>
      <c r="AJ137" s="15" t="s">
        <v>568</v>
      </c>
      <c r="AK137" s="15" t="s">
        <v>149</v>
      </c>
      <c r="AL137" s="15" t="s">
        <v>147</v>
      </c>
      <c r="AM137" s="15">
        <v>4.9347000000000003</v>
      </c>
      <c r="AN137" s="15" t="s">
        <v>569</v>
      </c>
      <c r="AO137" s="15" t="s">
        <v>149</v>
      </c>
      <c r="AP137" s="15" t="s">
        <v>147</v>
      </c>
      <c r="AQ137" s="15">
        <v>1.1633</v>
      </c>
      <c r="AR137" s="15" t="s">
        <v>570</v>
      </c>
      <c r="AS137" s="15" t="s">
        <v>232</v>
      </c>
      <c r="AT137" s="15" t="s">
        <v>147</v>
      </c>
      <c r="AU137" s="15">
        <v>3.2387000000000001</v>
      </c>
      <c r="AV137" s="15" t="s">
        <v>571</v>
      </c>
      <c r="AW137" s="15" t="s">
        <v>149</v>
      </c>
      <c r="AX137" s="15" t="s">
        <v>147</v>
      </c>
      <c r="AY137" s="15">
        <v>4.7512999999999996</v>
      </c>
      <c r="AZ137" s="15" t="s">
        <v>572</v>
      </c>
      <c r="BA137" s="15" t="s">
        <v>149</v>
      </c>
      <c r="BB137" s="15" t="s">
        <v>147</v>
      </c>
      <c r="BC137" s="15">
        <v>1.5580000000000001</v>
      </c>
      <c r="BD137" s="15" t="s">
        <v>573</v>
      </c>
      <c r="BE137" s="15" t="s">
        <v>574</v>
      </c>
      <c r="BF137" s="15" t="s">
        <v>147</v>
      </c>
      <c r="BG137" s="15">
        <v>3.4093</v>
      </c>
      <c r="BH137" s="15" t="s">
        <v>575</v>
      </c>
      <c r="BI137" s="15" t="s">
        <v>149</v>
      </c>
      <c r="BJ137" s="15" t="s">
        <v>147</v>
      </c>
      <c r="BK137" s="15">
        <v>5.4367000000000001</v>
      </c>
      <c r="BL137" s="15" t="s">
        <v>576</v>
      </c>
      <c r="BM137" s="15" t="s">
        <v>149</v>
      </c>
      <c r="BN137" s="15" t="s">
        <v>147</v>
      </c>
      <c r="BO137" s="15">
        <v>1.1953</v>
      </c>
      <c r="BP137" s="15" t="s">
        <v>577</v>
      </c>
      <c r="BQ137" s="15" t="s">
        <v>578</v>
      </c>
      <c r="BR137" s="15" t="s">
        <v>147</v>
      </c>
      <c r="BS137" s="15">
        <v>3.04</v>
      </c>
      <c r="BT137" s="15" t="s">
        <v>579</v>
      </c>
      <c r="BU137" s="15" t="s">
        <v>149</v>
      </c>
      <c r="BV137" s="15" t="s">
        <v>147</v>
      </c>
      <c r="BW137" s="15">
        <v>4.4253</v>
      </c>
      <c r="BX137" s="15" t="s">
        <v>580</v>
      </c>
      <c r="BY137" s="15" t="s">
        <v>149</v>
      </c>
      <c r="BZ137" s="15" t="s">
        <v>147</v>
      </c>
      <c r="CA137" s="15">
        <v>1.2486999999999999</v>
      </c>
      <c r="CB137" s="15" t="s">
        <v>581</v>
      </c>
      <c r="CC137" s="15" t="s">
        <v>582</v>
      </c>
      <c r="CD137" s="15" t="s">
        <v>147</v>
      </c>
      <c r="CE137" s="15">
        <v>3.5352999999999999</v>
      </c>
      <c r="CF137" s="15" t="s">
        <v>583</v>
      </c>
      <c r="CG137" s="15" t="s">
        <v>149</v>
      </c>
      <c r="CH137" s="15" t="s">
        <v>147</v>
      </c>
      <c r="CI137" s="15">
        <v>5.4260000000000002</v>
      </c>
      <c r="CJ137" s="15" t="s">
        <v>584</v>
      </c>
      <c r="CK137" s="15" t="s">
        <v>149</v>
      </c>
      <c r="CL137" s="15" t="s">
        <v>147</v>
      </c>
      <c r="CM137" s="15">
        <v>1.4293</v>
      </c>
      <c r="CN137" s="15" t="s">
        <v>585</v>
      </c>
      <c r="CO137" s="15" t="s">
        <v>586</v>
      </c>
      <c r="CP137" s="15" t="s">
        <v>147</v>
      </c>
      <c r="CQ137" s="15">
        <v>3.7147000000000001</v>
      </c>
      <c r="CR137" s="15" t="s">
        <v>587</v>
      </c>
      <c r="CS137" s="15" t="s">
        <v>149</v>
      </c>
      <c r="CT137" s="15" t="s">
        <v>147</v>
      </c>
      <c r="CU137" s="15">
        <v>5.5380000000000003</v>
      </c>
      <c r="CV137" s="15" t="s">
        <v>588</v>
      </c>
      <c r="CW137" s="15" t="s">
        <v>149</v>
      </c>
      <c r="CX137" s="15" t="s">
        <v>147</v>
      </c>
      <c r="CY137" s="15">
        <v>0.42</v>
      </c>
      <c r="CZ137" s="15" t="s">
        <v>589</v>
      </c>
      <c r="DA137" s="15" t="s">
        <v>590</v>
      </c>
      <c r="DB137" s="15" t="s">
        <v>147</v>
      </c>
      <c r="DC137" s="15">
        <v>3.234</v>
      </c>
      <c r="DD137" s="15" t="s">
        <v>591</v>
      </c>
      <c r="DE137" s="15" t="s">
        <v>149</v>
      </c>
      <c r="DF137" s="15" t="s">
        <v>147</v>
      </c>
      <c r="DG137" s="15">
        <v>4.9932999999999996</v>
      </c>
      <c r="DH137" s="15" t="s">
        <v>592</v>
      </c>
      <c r="DI137" s="15" t="s">
        <v>149</v>
      </c>
      <c r="DJ137" s="15" t="s">
        <v>147</v>
      </c>
      <c r="DK137" s="15">
        <v>2.1613000000000002</v>
      </c>
      <c r="DL137" s="15" t="s">
        <v>593</v>
      </c>
      <c r="DM137" s="15" t="s">
        <v>149</v>
      </c>
      <c r="DN137" s="15" t="s">
        <v>147</v>
      </c>
      <c r="DO137" s="15">
        <v>3.6219999999999999</v>
      </c>
      <c r="DP137" s="15" t="s">
        <v>594</v>
      </c>
      <c r="DQ137" s="15" t="s">
        <v>149</v>
      </c>
      <c r="DR137" s="15" t="s">
        <v>147</v>
      </c>
      <c r="DS137" s="15">
        <v>5.6452999999999998</v>
      </c>
      <c r="DT137" s="15" t="s">
        <v>595</v>
      </c>
      <c r="DU137" s="15" t="s">
        <v>149</v>
      </c>
      <c r="DV137" s="15" t="s">
        <v>147</v>
      </c>
      <c r="DW137" s="15">
        <v>1.0073000000000001</v>
      </c>
      <c r="DX137" s="15" t="s">
        <v>596</v>
      </c>
      <c r="DY137" s="15" t="s">
        <v>597</v>
      </c>
      <c r="DZ137" s="15" t="s">
        <v>147</v>
      </c>
      <c r="EA137" s="15">
        <v>3.8473000000000002</v>
      </c>
      <c r="EB137" s="15" t="s">
        <v>598</v>
      </c>
      <c r="EC137" s="15" t="s">
        <v>149</v>
      </c>
      <c r="ED137" s="15" t="s">
        <v>147</v>
      </c>
      <c r="EE137" s="15">
        <v>5.2786999999999997</v>
      </c>
      <c r="EF137" s="15" t="s">
        <v>599</v>
      </c>
      <c r="EG137" s="15" t="s">
        <v>149</v>
      </c>
    </row>
    <row r="138" spans="1:137" ht="15.6" thickTop="1" thickBot="1" x14ac:dyDescent="0.35">
      <c r="A138" s="24"/>
      <c r="B138" s="122">
        <v>2017</v>
      </c>
      <c r="C138" s="17">
        <v>265164</v>
      </c>
      <c r="D138" s="17">
        <v>17</v>
      </c>
      <c r="E138" s="19">
        <f t="shared" si="49"/>
        <v>6.4111266989485749</v>
      </c>
      <c r="F138" s="19">
        <f t="shared" si="50"/>
        <v>1.8580350275533393</v>
      </c>
      <c r="G138" s="25"/>
      <c r="H138" s="21"/>
      <c r="I138" s="123"/>
      <c r="J138" s="123"/>
      <c r="K138" s="124"/>
      <c r="L138" s="17">
        <v>154387</v>
      </c>
      <c r="M138" s="17">
        <v>72</v>
      </c>
      <c r="N138" s="19">
        <f t="shared" si="51"/>
        <v>46.636050962840137</v>
      </c>
      <c r="O138" s="19">
        <f t="shared" si="52"/>
        <v>3.8423738678494197</v>
      </c>
      <c r="P138" s="25"/>
      <c r="Q138" s="21"/>
      <c r="R138" s="123"/>
      <c r="S138" s="123"/>
      <c r="T138" s="124"/>
      <c r="U138" s="17">
        <v>74853</v>
      </c>
      <c r="V138" s="17">
        <v>208</v>
      </c>
      <c r="W138" s="19">
        <f t="shared" si="53"/>
        <v>277.87797416269223</v>
      </c>
      <c r="X138" s="19">
        <f t="shared" si="54"/>
        <v>5.6271820754666395</v>
      </c>
      <c r="Y138" s="25"/>
      <c r="Z138" s="21"/>
      <c r="AA138" s="123"/>
      <c r="AB138" s="123"/>
      <c r="AC138" s="125"/>
      <c r="AD138" s="15" t="s">
        <v>183</v>
      </c>
      <c r="AE138" s="15">
        <v>-0.13170000000000001</v>
      </c>
      <c r="AF138" s="15" t="s">
        <v>600</v>
      </c>
      <c r="AG138" s="15" t="s">
        <v>601</v>
      </c>
      <c r="AH138" s="15" t="s">
        <v>183</v>
      </c>
      <c r="AI138" s="15">
        <v>4.0599999999999997E-2</v>
      </c>
      <c r="AJ138" s="15" t="s">
        <v>602</v>
      </c>
      <c r="AK138" s="15" t="s">
        <v>603</v>
      </c>
      <c r="AL138" s="15" t="s">
        <v>183</v>
      </c>
      <c r="AM138" s="15">
        <v>0.1149</v>
      </c>
      <c r="AN138" s="15" t="s">
        <v>604</v>
      </c>
      <c r="AO138" s="15" t="s">
        <v>605</v>
      </c>
      <c r="AP138" s="15" t="s">
        <v>183</v>
      </c>
      <c r="AQ138" s="15">
        <v>1.8599999999999998E-2</v>
      </c>
      <c r="AR138" s="15" t="s">
        <v>606</v>
      </c>
      <c r="AS138" s="15" t="s">
        <v>607</v>
      </c>
      <c r="AT138" s="15" t="s">
        <v>183</v>
      </c>
      <c r="AU138" s="15">
        <v>2.9399999999999999E-2</v>
      </c>
      <c r="AV138" s="15" t="s">
        <v>608</v>
      </c>
      <c r="AW138" s="15" t="s">
        <v>609</v>
      </c>
      <c r="AX138" s="15" t="s">
        <v>183</v>
      </c>
      <c r="AY138" s="15">
        <v>0.12909999999999999</v>
      </c>
      <c r="AZ138" s="15" t="s">
        <v>610</v>
      </c>
      <c r="BA138" s="15" t="s">
        <v>82</v>
      </c>
      <c r="BB138" s="15" t="s">
        <v>183</v>
      </c>
      <c r="BC138" s="15">
        <v>1.49E-2</v>
      </c>
      <c r="BD138" s="15" t="s">
        <v>611</v>
      </c>
      <c r="BE138" s="15" t="s">
        <v>612</v>
      </c>
      <c r="BF138" s="15" t="s">
        <v>183</v>
      </c>
      <c r="BG138" s="15">
        <v>7.5399999999999995E-2</v>
      </c>
      <c r="BH138" s="15" t="s">
        <v>613</v>
      </c>
      <c r="BI138" s="15" t="s">
        <v>614</v>
      </c>
      <c r="BJ138" s="15" t="s">
        <v>183</v>
      </c>
      <c r="BK138" s="15">
        <v>6.5699999999999995E-2</v>
      </c>
      <c r="BL138" s="15" t="s">
        <v>615</v>
      </c>
      <c r="BM138" s="15" t="s">
        <v>616</v>
      </c>
      <c r="BN138" s="15" t="s">
        <v>183</v>
      </c>
      <c r="BO138" s="15">
        <v>-4.0599999999999997E-2</v>
      </c>
      <c r="BP138" s="15" t="s">
        <v>617</v>
      </c>
      <c r="BQ138" s="15" t="s">
        <v>618</v>
      </c>
      <c r="BR138" s="15" t="s">
        <v>183</v>
      </c>
      <c r="BS138" s="15">
        <v>8.6E-3</v>
      </c>
      <c r="BT138" s="15" t="s">
        <v>619</v>
      </c>
      <c r="BU138" s="15" t="s">
        <v>620</v>
      </c>
      <c r="BV138" s="15" t="s">
        <v>183</v>
      </c>
      <c r="BW138" s="15">
        <v>0.11509999999999999</v>
      </c>
      <c r="BX138" s="15" t="s">
        <v>621</v>
      </c>
      <c r="BY138" s="15" t="s">
        <v>622</v>
      </c>
      <c r="BZ138" s="15" t="s">
        <v>183</v>
      </c>
      <c r="CA138" s="15">
        <v>3.3700000000000001E-2</v>
      </c>
      <c r="CB138" s="15" t="s">
        <v>623</v>
      </c>
      <c r="CC138" s="15" t="s">
        <v>624</v>
      </c>
      <c r="CD138" s="15" t="s">
        <v>183</v>
      </c>
      <c r="CE138" s="15">
        <v>7.51E-2</v>
      </c>
      <c r="CF138" s="15" t="s">
        <v>625</v>
      </c>
      <c r="CG138" s="15" t="s">
        <v>626</v>
      </c>
      <c r="CH138" s="15" t="s">
        <v>183</v>
      </c>
      <c r="CI138" s="15">
        <v>6.6900000000000001E-2</v>
      </c>
      <c r="CJ138" s="15" t="s">
        <v>627</v>
      </c>
      <c r="CK138" s="15" t="s">
        <v>628</v>
      </c>
      <c r="CL138" s="15" t="s">
        <v>183</v>
      </c>
      <c r="CM138" s="15">
        <v>5.11E-2</v>
      </c>
      <c r="CN138" s="15" t="s">
        <v>629</v>
      </c>
      <c r="CO138" s="15" t="s">
        <v>630</v>
      </c>
      <c r="CP138" s="15" t="s">
        <v>183</v>
      </c>
      <c r="CQ138" s="15">
        <v>5.1999999999999998E-2</v>
      </c>
      <c r="CR138" s="15" t="s">
        <v>631</v>
      </c>
      <c r="CS138" s="15" t="s">
        <v>632</v>
      </c>
      <c r="CT138" s="15" t="s">
        <v>183</v>
      </c>
      <c r="CU138" s="15">
        <v>3.3399999999999999E-2</v>
      </c>
      <c r="CV138" s="15" t="s">
        <v>633</v>
      </c>
      <c r="CW138" s="15" t="s">
        <v>634</v>
      </c>
      <c r="CX138" s="15" t="s">
        <v>183</v>
      </c>
      <c r="CY138" s="15">
        <v>0.17860000000000001</v>
      </c>
      <c r="CZ138" s="15" t="s">
        <v>635</v>
      </c>
      <c r="DA138" s="15" t="s">
        <v>636</v>
      </c>
      <c r="DB138" s="15" t="s">
        <v>183</v>
      </c>
      <c r="DC138" s="15">
        <v>8.1699999999999995E-2</v>
      </c>
      <c r="DD138" s="15" t="s">
        <v>637</v>
      </c>
      <c r="DE138" s="15" t="s">
        <v>638</v>
      </c>
      <c r="DF138" s="15" t="s">
        <v>183</v>
      </c>
      <c r="DG138" s="15">
        <v>8.43E-2</v>
      </c>
      <c r="DH138" s="15" t="s">
        <v>639</v>
      </c>
      <c r="DI138" s="15" t="s">
        <v>640</v>
      </c>
      <c r="DJ138" s="15" t="s">
        <v>183</v>
      </c>
      <c r="DK138" s="15">
        <v>-0.18659999999999999</v>
      </c>
      <c r="DL138" s="15" t="s">
        <v>641</v>
      </c>
      <c r="DM138" s="15" t="s">
        <v>642</v>
      </c>
      <c r="DN138" s="15" t="s">
        <v>183</v>
      </c>
      <c r="DO138" s="15">
        <v>5.0900000000000001E-2</v>
      </c>
      <c r="DP138" s="15" t="s">
        <v>643</v>
      </c>
      <c r="DQ138" s="15" t="s">
        <v>644</v>
      </c>
      <c r="DR138" s="15" t="s">
        <v>183</v>
      </c>
      <c r="DS138" s="15">
        <v>5.0900000000000001E-2</v>
      </c>
      <c r="DT138" s="15" t="s">
        <v>645</v>
      </c>
      <c r="DU138" s="15" t="s">
        <v>646</v>
      </c>
      <c r="DV138" s="15" t="s">
        <v>183</v>
      </c>
      <c r="DW138" s="15">
        <v>0.1789</v>
      </c>
      <c r="DX138" s="15" t="s">
        <v>647</v>
      </c>
      <c r="DY138" s="15" t="s">
        <v>648</v>
      </c>
      <c r="DZ138" s="15" t="s">
        <v>183</v>
      </c>
      <c r="EA138" s="15">
        <v>-3.1099999999999999E-2</v>
      </c>
      <c r="EB138" s="15" t="s">
        <v>649</v>
      </c>
      <c r="EC138" s="15" t="s">
        <v>650</v>
      </c>
      <c r="ED138" s="15" t="s">
        <v>183</v>
      </c>
      <c r="EE138" s="15">
        <v>0.108</v>
      </c>
      <c r="EF138" s="15" t="s">
        <v>651</v>
      </c>
      <c r="EG138" s="15" t="s">
        <v>652</v>
      </c>
    </row>
    <row r="139" spans="1:137" ht="15.6" thickTop="1" thickBot="1" x14ac:dyDescent="0.35">
      <c r="A139" s="24"/>
      <c r="B139" s="122">
        <v>2018</v>
      </c>
      <c r="C139" s="17">
        <v>271844</v>
      </c>
      <c r="D139" s="17">
        <v>9</v>
      </c>
      <c r="E139" s="19">
        <f t="shared" si="49"/>
        <v>3.3107223260399343</v>
      </c>
      <c r="F139" s="19">
        <f t="shared" si="50"/>
        <v>1.1971663909709831</v>
      </c>
      <c r="G139" s="25"/>
      <c r="H139" s="21"/>
      <c r="I139" s="123"/>
      <c r="J139" s="123"/>
      <c r="K139" s="124"/>
      <c r="L139" s="17">
        <v>158871</v>
      </c>
      <c r="M139" s="17">
        <v>57</v>
      </c>
      <c r="N139" s="19">
        <f t="shared" si="51"/>
        <v>35.878165303925826</v>
      </c>
      <c r="O139" s="19">
        <f t="shared" si="52"/>
        <v>3.5801289016559337</v>
      </c>
      <c r="P139" s="25"/>
      <c r="Q139" s="21"/>
      <c r="R139" s="123"/>
      <c r="S139" s="123"/>
      <c r="T139" s="124"/>
      <c r="U139" s="17">
        <v>77581</v>
      </c>
      <c r="V139" s="17">
        <v>226</v>
      </c>
      <c r="W139" s="19">
        <f t="shared" si="53"/>
        <v>291.30843892190097</v>
      </c>
      <c r="X139" s="19">
        <f t="shared" si="54"/>
        <v>5.6743826334115477</v>
      </c>
      <c r="Y139" s="25"/>
      <c r="Z139" s="21"/>
      <c r="AA139" s="123"/>
      <c r="AB139" s="123"/>
      <c r="AC139" s="125"/>
      <c r="AD139" s="15" t="s">
        <v>238</v>
      </c>
      <c r="AE139" s="15" t="s">
        <v>653</v>
      </c>
      <c r="AF139" s="15"/>
      <c r="AG139" s="15"/>
      <c r="AH139" s="15" t="s">
        <v>238</v>
      </c>
      <c r="AI139" s="15" t="s">
        <v>654</v>
      </c>
      <c r="AJ139" s="15"/>
      <c r="AK139" s="15"/>
      <c r="AL139" s="15" t="s">
        <v>238</v>
      </c>
      <c r="AM139" s="15" t="s">
        <v>655</v>
      </c>
      <c r="AN139" s="15"/>
      <c r="AO139" s="15"/>
      <c r="AP139" s="15" t="s">
        <v>238</v>
      </c>
      <c r="AQ139" s="15" t="s">
        <v>656</v>
      </c>
      <c r="AR139" s="15"/>
      <c r="AS139" s="15"/>
      <c r="AT139" s="15" t="s">
        <v>238</v>
      </c>
      <c r="AU139" s="15" t="s">
        <v>657</v>
      </c>
      <c r="AV139" s="15"/>
      <c r="AW139" s="15"/>
      <c r="AX139" s="15" t="s">
        <v>238</v>
      </c>
      <c r="AY139" s="15" t="s">
        <v>658</v>
      </c>
      <c r="AZ139" s="15"/>
      <c r="BA139" s="15"/>
      <c r="BB139" s="15" t="s">
        <v>238</v>
      </c>
      <c r="BC139" s="15" t="s">
        <v>659</v>
      </c>
      <c r="BD139" s="15"/>
      <c r="BE139" s="15"/>
      <c r="BF139" s="15" t="s">
        <v>238</v>
      </c>
      <c r="BG139" s="15" t="s">
        <v>660</v>
      </c>
      <c r="BH139" s="15"/>
      <c r="BI139" s="15"/>
      <c r="BJ139" s="15" t="s">
        <v>238</v>
      </c>
      <c r="BK139" s="15" t="s">
        <v>661</v>
      </c>
      <c r="BL139" s="15"/>
      <c r="BM139" s="15"/>
      <c r="BN139" s="15" t="s">
        <v>238</v>
      </c>
      <c r="BO139" s="15" t="s">
        <v>662</v>
      </c>
      <c r="BP139" s="15"/>
      <c r="BQ139" s="15"/>
      <c r="BR139" s="15" t="s">
        <v>238</v>
      </c>
      <c r="BS139" s="15" t="s">
        <v>663</v>
      </c>
      <c r="BT139" s="15"/>
      <c r="BU139" s="15"/>
      <c r="BV139" s="15" t="s">
        <v>238</v>
      </c>
      <c r="BW139" s="15" t="s">
        <v>664</v>
      </c>
      <c r="BX139" s="15"/>
      <c r="BY139" s="15"/>
      <c r="BZ139" s="15" t="s">
        <v>238</v>
      </c>
      <c r="CA139" s="15" t="s">
        <v>665</v>
      </c>
      <c r="CB139" s="15"/>
      <c r="CC139" s="15"/>
      <c r="CD139" s="15" t="s">
        <v>238</v>
      </c>
      <c r="CE139" s="15" t="s">
        <v>666</v>
      </c>
      <c r="CF139" s="15"/>
      <c r="CG139" s="15"/>
      <c r="CH139" s="15" t="s">
        <v>238</v>
      </c>
      <c r="CI139" s="15" t="s">
        <v>667</v>
      </c>
      <c r="CJ139" s="15"/>
      <c r="CK139" s="15"/>
      <c r="CL139" s="15" t="s">
        <v>238</v>
      </c>
      <c r="CM139" s="15" t="s">
        <v>668</v>
      </c>
      <c r="CN139" s="15"/>
      <c r="CO139" s="15"/>
      <c r="CP139" s="15" t="s">
        <v>238</v>
      </c>
      <c r="CQ139" s="15" t="s">
        <v>669</v>
      </c>
      <c r="CR139" s="15"/>
      <c r="CS139" s="15"/>
      <c r="CT139" s="15" t="s">
        <v>238</v>
      </c>
      <c r="CU139" s="15" t="s">
        <v>670</v>
      </c>
      <c r="CV139" s="15"/>
      <c r="CW139" s="15"/>
      <c r="CX139" s="15" t="s">
        <v>238</v>
      </c>
      <c r="CY139" s="15" t="s">
        <v>671</v>
      </c>
      <c r="CZ139" s="15"/>
      <c r="DA139" s="15"/>
      <c r="DB139" s="15" t="s">
        <v>238</v>
      </c>
      <c r="DC139" s="15" t="s">
        <v>672</v>
      </c>
      <c r="DD139" s="15"/>
      <c r="DE139" s="15"/>
      <c r="DF139" s="15" t="s">
        <v>238</v>
      </c>
      <c r="DG139" s="15" t="s">
        <v>673</v>
      </c>
      <c r="DH139" s="15"/>
      <c r="DI139" s="15"/>
      <c r="DJ139" s="15" t="s">
        <v>238</v>
      </c>
      <c r="DK139" s="15" t="s">
        <v>674</v>
      </c>
      <c r="DL139" s="15"/>
      <c r="DM139" s="15"/>
      <c r="DN139" s="15" t="s">
        <v>238</v>
      </c>
      <c r="DO139" s="15" t="s">
        <v>675</v>
      </c>
      <c r="DP139" s="15"/>
      <c r="DQ139" s="15"/>
      <c r="DR139" s="15" t="s">
        <v>238</v>
      </c>
      <c r="DS139" s="15" t="s">
        <v>676</v>
      </c>
      <c r="DT139" s="15"/>
      <c r="DU139" s="15"/>
      <c r="DV139" s="15" t="s">
        <v>238</v>
      </c>
      <c r="DW139" s="15" t="s">
        <v>677</v>
      </c>
      <c r="DX139" s="15"/>
      <c r="DY139" s="15"/>
      <c r="DZ139" s="15" t="s">
        <v>238</v>
      </c>
      <c r="EA139" s="15" t="s">
        <v>678</v>
      </c>
      <c r="EB139" s="15"/>
      <c r="EC139" s="15"/>
      <c r="ED139" s="15" t="s">
        <v>238</v>
      </c>
      <c r="EE139" s="15" t="s">
        <v>679</v>
      </c>
      <c r="EF139" s="15"/>
      <c r="EG139" s="15"/>
    </row>
    <row r="140" spans="1:137" ht="15.6" thickTop="1" thickBot="1" x14ac:dyDescent="0.35">
      <c r="A140" s="24"/>
      <c r="B140" s="122">
        <v>2019</v>
      </c>
      <c r="C140" s="17">
        <v>279545</v>
      </c>
      <c r="D140" s="17">
        <v>17</v>
      </c>
      <c r="E140" s="19">
        <f t="shared" si="49"/>
        <v>6.0813107013182135</v>
      </c>
      <c r="F140" s="19">
        <f t="shared" si="50"/>
        <v>1.8052202486196418</v>
      </c>
      <c r="G140" s="25"/>
      <c r="H140" s="21"/>
      <c r="I140" s="123"/>
      <c r="J140" s="123"/>
      <c r="K140" s="124"/>
      <c r="L140" s="17">
        <v>163707</v>
      </c>
      <c r="M140" s="17">
        <v>76</v>
      </c>
      <c r="N140" s="19">
        <f t="shared" si="51"/>
        <v>46.424404576468937</v>
      </c>
      <c r="O140" s="19">
        <f t="shared" si="52"/>
        <v>3.8378252816631226</v>
      </c>
      <c r="P140" s="25"/>
      <c r="Q140" s="21"/>
      <c r="R140" s="123"/>
      <c r="S140" s="123"/>
      <c r="T140" s="124"/>
      <c r="U140" s="17">
        <v>80263</v>
      </c>
      <c r="V140" s="17">
        <v>238</v>
      </c>
      <c r="W140" s="19">
        <f t="shared" si="53"/>
        <v>296.52517349214457</v>
      </c>
      <c r="X140" s="19">
        <f t="shared" si="54"/>
        <v>5.6921321169995442</v>
      </c>
      <c r="Y140" s="25"/>
      <c r="Z140" s="21"/>
      <c r="AA140" s="123"/>
      <c r="AB140" s="123"/>
      <c r="AC140" s="125"/>
      <c r="AD140" s="15" t="s">
        <v>266</v>
      </c>
      <c r="AE140" s="15" t="s">
        <v>680</v>
      </c>
      <c r="AF140" s="15"/>
      <c r="AG140" s="15"/>
      <c r="AH140" s="15" t="s">
        <v>266</v>
      </c>
      <c r="AI140" s="15" t="s">
        <v>681</v>
      </c>
      <c r="AJ140" s="15"/>
      <c r="AK140" s="15"/>
      <c r="AL140" s="15" t="s">
        <v>266</v>
      </c>
      <c r="AM140" s="15" t="s">
        <v>682</v>
      </c>
      <c r="AN140" s="15"/>
      <c r="AO140" s="15"/>
      <c r="AP140" s="15" t="s">
        <v>266</v>
      </c>
      <c r="AQ140" s="15" t="s">
        <v>683</v>
      </c>
      <c r="AR140" s="15"/>
      <c r="AS140" s="15"/>
      <c r="AT140" s="15" t="s">
        <v>266</v>
      </c>
      <c r="AU140" s="15" t="s">
        <v>684</v>
      </c>
      <c r="AV140" s="15"/>
      <c r="AW140" s="15"/>
      <c r="AX140" s="15" t="s">
        <v>266</v>
      </c>
      <c r="AY140" s="15" t="s">
        <v>685</v>
      </c>
      <c r="AZ140" s="15"/>
      <c r="BA140" s="15"/>
      <c r="BB140" s="15" t="s">
        <v>266</v>
      </c>
      <c r="BC140" s="15" t="s">
        <v>686</v>
      </c>
      <c r="BD140" s="15"/>
      <c r="BE140" s="15"/>
      <c r="BF140" s="15" t="s">
        <v>266</v>
      </c>
      <c r="BG140" s="15" t="s">
        <v>687</v>
      </c>
      <c r="BH140" s="15"/>
      <c r="BI140" s="15"/>
      <c r="BJ140" s="15" t="s">
        <v>266</v>
      </c>
      <c r="BK140" s="15" t="s">
        <v>688</v>
      </c>
      <c r="BL140" s="15"/>
      <c r="BM140" s="15"/>
      <c r="BN140" s="15" t="s">
        <v>266</v>
      </c>
      <c r="BO140" s="15" t="s">
        <v>689</v>
      </c>
      <c r="BP140" s="15"/>
      <c r="BQ140" s="15"/>
      <c r="BR140" s="15" t="s">
        <v>266</v>
      </c>
      <c r="BS140" s="15" t="s">
        <v>690</v>
      </c>
      <c r="BT140" s="15"/>
      <c r="BU140" s="15"/>
      <c r="BV140" s="15" t="s">
        <v>266</v>
      </c>
      <c r="BW140" s="15" t="s">
        <v>691</v>
      </c>
      <c r="BX140" s="15"/>
      <c r="BY140" s="15"/>
      <c r="BZ140" s="15" t="s">
        <v>266</v>
      </c>
      <c r="CA140" s="15" t="s">
        <v>692</v>
      </c>
      <c r="CB140" s="15"/>
      <c r="CC140" s="15"/>
      <c r="CD140" s="15" t="s">
        <v>266</v>
      </c>
      <c r="CE140" s="15" t="s">
        <v>693</v>
      </c>
      <c r="CF140" s="15"/>
      <c r="CG140" s="15"/>
      <c r="CH140" s="15" t="s">
        <v>266</v>
      </c>
      <c r="CI140" s="15" t="s">
        <v>694</v>
      </c>
      <c r="CJ140" s="15"/>
      <c r="CK140" s="15"/>
      <c r="CL140" s="15" t="s">
        <v>266</v>
      </c>
      <c r="CM140" s="15" t="s">
        <v>695</v>
      </c>
      <c r="CN140" s="15"/>
      <c r="CO140" s="15"/>
      <c r="CP140" s="15" t="s">
        <v>266</v>
      </c>
      <c r="CQ140" s="15" t="s">
        <v>696</v>
      </c>
      <c r="CR140" s="15"/>
      <c r="CS140" s="15"/>
      <c r="CT140" s="15" t="s">
        <v>266</v>
      </c>
      <c r="CU140" s="15" t="s">
        <v>697</v>
      </c>
      <c r="CV140" s="15"/>
      <c r="CW140" s="15"/>
      <c r="CX140" s="15" t="s">
        <v>266</v>
      </c>
      <c r="CY140" s="15" t="s">
        <v>698</v>
      </c>
      <c r="CZ140" s="15"/>
      <c r="DA140" s="15"/>
      <c r="DB140" s="15" t="s">
        <v>266</v>
      </c>
      <c r="DC140" s="15" t="s">
        <v>699</v>
      </c>
      <c r="DD140" s="15"/>
      <c r="DE140" s="15"/>
      <c r="DF140" s="15" t="s">
        <v>266</v>
      </c>
      <c r="DG140" s="15" t="s">
        <v>700</v>
      </c>
      <c r="DH140" s="15"/>
      <c r="DI140" s="15"/>
      <c r="DJ140" s="15" t="s">
        <v>266</v>
      </c>
      <c r="DK140" s="15" t="s">
        <v>701</v>
      </c>
      <c r="DL140" s="15"/>
      <c r="DM140" s="15"/>
      <c r="DN140" s="15" t="s">
        <v>266</v>
      </c>
      <c r="DO140" s="15" t="s">
        <v>702</v>
      </c>
      <c r="DP140" s="15"/>
      <c r="DQ140" s="15"/>
      <c r="DR140" s="15" t="s">
        <v>266</v>
      </c>
      <c r="DS140" s="15" t="s">
        <v>703</v>
      </c>
      <c r="DT140" s="15"/>
      <c r="DU140" s="15"/>
      <c r="DV140" s="15" t="s">
        <v>266</v>
      </c>
      <c r="DW140" s="15" t="s">
        <v>704</v>
      </c>
      <c r="DX140" s="15"/>
      <c r="DY140" s="15"/>
      <c r="DZ140" s="15" t="s">
        <v>266</v>
      </c>
      <c r="EA140" s="15" t="s">
        <v>705</v>
      </c>
      <c r="EB140" s="15"/>
      <c r="EC140" s="15"/>
      <c r="ED140" s="15" t="s">
        <v>266</v>
      </c>
      <c r="EE140" s="15" t="s">
        <v>706</v>
      </c>
      <c r="EF140" s="15"/>
      <c r="EG140" s="15"/>
    </row>
    <row r="141" spans="1:137" ht="15.6" thickTop="1" thickBot="1" x14ac:dyDescent="0.35">
      <c r="A141" s="24"/>
      <c r="B141" s="122">
        <v>2020</v>
      </c>
      <c r="C141" s="17">
        <v>288101</v>
      </c>
      <c r="D141" s="17">
        <v>14</v>
      </c>
      <c r="E141" s="19">
        <f t="shared" si="49"/>
        <v>4.8594069440925232</v>
      </c>
      <c r="F141" s="19">
        <f t="shared" si="50"/>
        <v>1.5809164025018831</v>
      </c>
      <c r="G141" s="25"/>
      <c r="H141" s="21"/>
      <c r="I141" s="123"/>
      <c r="J141" s="123"/>
      <c r="K141" s="124"/>
      <c r="L141" s="17">
        <v>168076</v>
      </c>
      <c r="M141" s="17">
        <v>68</v>
      </c>
      <c r="N141" s="19">
        <f t="shared" si="51"/>
        <v>40.45788809824127</v>
      </c>
      <c r="O141" s="19">
        <f t="shared" si="52"/>
        <v>3.700261633101972</v>
      </c>
      <c r="P141" s="25"/>
      <c r="Q141" s="21"/>
      <c r="R141" s="123"/>
      <c r="S141" s="123"/>
      <c r="T141" s="124"/>
      <c r="U141" s="17">
        <v>81845</v>
      </c>
      <c r="V141" s="17">
        <v>254</v>
      </c>
      <c r="W141" s="19">
        <f t="shared" si="53"/>
        <v>310.34272099700655</v>
      </c>
      <c r="X141" s="19">
        <f t="shared" si="54"/>
        <v>5.7376772384103099</v>
      </c>
      <c r="Y141" s="25"/>
      <c r="Z141" s="21"/>
      <c r="AA141" s="123"/>
      <c r="AB141" s="123"/>
      <c r="AC141" s="125"/>
      <c r="AD141" s="15" t="s">
        <v>294</v>
      </c>
      <c r="AE141" s="15" t="s">
        <v>295</v>
      </c>
      <c r="AF141" s="15"/>
      <c r="AG141" s="15"/>
      <c r="AH141" s="15" t="s">
        <v>294</v>
      </c>
      <c r="AI141" s="15" t="s">
        <v>295</v>
      </c>
      <c r="AJ141" s="15"/>
      <c r="AK141" s="15"/>
      <c r="AL141" s="15" t="s">
        <v>294</v>
      </c>
      <c r="AM141" s="15" t="s">
        <v>295</v>
      </c>
      <c r="AN141" s="15"/>
      <c r="AO141" s="15"/>
      <c r="AP141" s="15" t="s">
        <v>294</v>
      </c>
      <c r="AQ141" s="15" t="s">
        <v>295</v>
      </c>
      <c r="AR141" s="15"/>
      <c r="AS141" s="15"/>
      <c r="AT141" s="15" t="s">
        <v>294</v>
      </c>
      <c r="AU141" s="15" t="s">
        <v>295</v>
      </c>
      <c r="AV141" s="15"/>
      <c r="AW141" s="15"/>
      <c r="AX141" s="15" t="s">
        <v>294</v>
      </c>
      <c r="AY141" s="15" t="s">
        <v>295</v>
      </c>
      <c r="AZ141" s="15"/>
      <c r="BA141" s="15"/>
      <c r="BB141" s="15" t="s">
        <v>294</v>
      </c>
      <c r="BC141" s="15" t="s">
        <v>295</v>
      </c>
      <c r="BD141" s="15"/>
      <c r="BE141" s="15"/>
      <c r="BF141" s="15" t="s">
        <v>294</v>
      </c>
      <c r="BG141" s="15" t="s">
        <v>295</v>
      </c>
      <c r="BH141" s="15"/>
      <c r="BI141" s="15"/>
      <c r="BJ141" s="15" t="s">
        <v>294</v>
      </c>
      <c r="BK141" s="15" t="s">
        <v>295</v>
      </c>
      <c r="BL141" s="15"/>
      <c r="BM141" s="15"/>
      <c r="BN141" s="15" t="s">
        <v>294</v>
      </c>
      <c r="BO141" s="15" t="s">
        <v>295</v>
      </c>
      <c r="BP141" s="15"/>
      <c r="BQ141" s="15"/>
      <c r="BR141" s="15" t="s">
        <v>294</v>
      </c>
      <c r="BS141" s="15" t="s">
        <v>295</v>
      </c>
      <c r="BT141" s="15"/>
      <c r="BU141" s="15"/>
      <c r="BV141" s="15" t="s">
        <v>294</v>
      </c>
      <c r="BW141" s="15" t="s">
        <v>295</v>
      </c>
      <c r="BX141" s="15"/>
      <c r="BY141" s="15"/>
      <c r="BZ141" s="15" t="s">
        <v>294</v>
      </c>
      <c r="CA141" s="15" t="s">
        <v>295</v>
      </c>
      <c r="CB141" s="15"/>
      <c r="CC141" s="15"/>
      <c r="CD141" s="15" t="s">
        <v>294</v>
      </c>
      <c r="CE141" s="15" t="s">
        <v>295</v>
      </c>
      <c r="CF141" s="15"/>
      <c r="CG141" s="15"/>
      <c r="CH141" s="15" t="s">
        <v>294</v>
      </c>
      <c r="CI141" s="15" t="s">
        <v>295</v>
      </c>
      <c r="CJ141" s="15"/>
      <c r="CK141" s="15"/>
      <c r="CL141" s="15" t="s">
        <v>294</v>
      </c>
      <c r="CM141" s="15" t="s">
        <v>295</v>
      </c>
      <c r="CN141" s="15"/>
      <c r="CO141" s="15"/>
      <c r="CP141" s="15" t="s">
        <v>294</v>
      </c>
      <c r="CQ141" s="15" t="s">
        <v>295</v>
      </c>
      <c r="CR141" s="15"/>
      <c r="CS141" s="15"/>
      <c r="CT141" s="15" t="s">
        <v>294</v>
      </c>
      <c r="CU141" s="15" t="s">
        <v>295</v>
      </c>
      <c r="CV141" s="15"/>
      <c r="CW141" s="15"/>
      <c r="CX141" s="15" t="s">
        <v>294</v>
      </c>
      <c r="CY141" s="15" t="s">
        <v>295</v>
      </c>
      <c r="CZ141" s="15"/>
      <c r="DA141" s="15"/>
      <c r="DB141" s="15" t="s">
        <v>294</v>
      </c>
      <c r="DC141" s="15" t="s">
        <v>295</v>
      </c>
      <c r="DD141" s="15"/>
      <c r="DE141" s="15"/>
      <c r="DF141" s="15" t="s">
        <v>294</v>
      </c>
      <c r="DG141" s="15" t="s">
        <v>295</v>
      </c>
      <c r="DH141" s="15"/>
      <c r="DI141" s="15"/>
      <c r="DJ141" s="15" t="s">
        <v>294</v>
      </c>
      <c r="DK141" s="15" t="s">
        <v>295</v>
      </c>
      <c r="DL141" s="15"/>
      <c r="DM141" s="15"/>
      <c r="DN141" s="15" t="s">
        <v>294</v>
      </c>
      <c r="DO141" s="15" t="s">
        <v>295</v>
      </c>
      <c r="DP141" s="15"/>
      <c r="DQ141" s="15"/>
      <c r="DR141" s="15" t="s">
        <v>294</v>
      </c>
      <c r="DS141" s="15" t="s">
        <v>295</v>
      </c>
      <c r="DT141" s="15"/>
      <c r="DU141" s="15"/>
      <c r="DV141" s="15" t="s">
        <v>294</v>
      </c>
      <c r="DW141" s="15" t="s">
        <v>295</v>
      </c>
      <c r="DX141" s="15"/>
      <c r="DY141" s="15"/>
      <c r="DZ141" s="15" t="s">
        <v>294</v>
      </c>
      <c r="EA141" s="15" t="s">
        <v>295</v>
      </c>
      <c r="EB141" s="15"/>
      <c r="EC141" s="15"/>
      <c r="ED141" s="15" t="s">
        <v>294</v>
      </c>
      <c r="EE141" s="15" t="s">
        <v>295</v>
      </c>
      <c r="EF141" s="15"/>
      <c r="EG141" s="15"/>
    </row>
    <row r="142" spans="1:137" ht="15.6" thickTop="1" thickBot="1" x14ac:dyDescent="0.35">
      <c r="A142" s="33"/>
      <c r="B142" s="122">
        <v>2021</v>
      </c>
      <c r="C142" s="17">
        <v>297421</v>
      </c>
      <c r="D142" s="17">
        <v>16</v>
      </c>
      <c r="E142" s="19">
        <f t="shared" si="49"/>
        <v>5.3795797875738431</v>
      </c>
      <c r="F142" s="19">
        <f t="shared" si="50"/>
        <v>1.6826102647243155</v>
      </c>
      <c r="G142" s="34"/>
      <c r="H142" s="21"/>
      <c r="I142" s="126"/>
      <c r="J142" s="126"/>
      <c r="K142" s="127"/>
      <c r="L142" s="17">
        <v>171857</v>
      </c>
      <c r="M142" s="17">
        <v>78</v>
      </c>
      <c r="N142" s="19">
        <f t="shared" si="51"/>
        <v>45.386571393658677</v>
      </c>
      <c r="O142" s="19">
        <f t="shared" si="52"/>
        <v>3.8152162770138585</v>
      </c>
      <c r="P142" s="34"/>
      <c r="Q142" s="21"/>
      <c r="R142" s="126"/>
      <c r="S142" s="126"/>
      <c r="T142" s="127"/>
      <c r="U142" s="17">
        <v>82310</v>
      </c>
      <c r="V142" s="17">
        <v>280</v>
      </c>
      <c r="W142" s="19">
        <f t="shared" si="53"/>
        <v>340.1773782043494</v>
      </c>
      <c r="X142" s="19">
        <f t="shared" si="54"/>
        <v>5.8294671821727881</v>
      </c>
      <c r="Y142" s="34"/>
      <c r="Z142" s="21"/>
      <c r="AA142" s="126"/>
      <c r="AB142" s="126"/>
      <c r="AC142" s="127"/>
    </row>
    <row r="143" spans="1:137" ht="15.6" thickTop="1" thickBot="1" x14ac:dyDescent="0.35">
      <c r="A143" s="38" t="s">
        <v>296</v>
      </c>
      <c r="B143" s="39">
        <v>2016</v>
      </c>
      <c r="C143" s="39">
        <v>178265</v>
      </c>
      <c r="D143" s="39">
        <v>5</v>
      </c>
      <c r="E143" s="19">
        <f t="shared" si="49"/>
        <v>2.8048130592096037</v>
      </c>
      <c r="F143" s="19">
        <f t="shared" si="50"/>
        <v>1.0313368911956722</v>
      </c>
      <c r="G143" s="20">
        <v>-4.0599999999999997E-2</v>
      </c>
      <c r="H143" s="21">
        <f t="shared" ref="H143" si="61">(EXP(G143)-1)*100</f>
        <v>-3.9786861603652413</v>
      </c>
      <c r="I143" s="119">
        <f>(EXP(-0.329) - 1) * 100</f>
        <v>-28.035698325292458</v>
      </c>
      <c r="J143" s="119">
        <f>(EXP(0.248) - 1) * 100</f>
        <v>28.145993219402122</v>
      </c>
      <c r="K143" s="130">
        <v>0.71619999999999995</v>
      </c>
      <c r="L143" s="39">
        <v>101776</v>
      </c>
      <c r="M143" s="39">
        <v>28</v>
      </c>
      <c r="N143" s="19">
        <f t="shared" si="51"/>
        <v>27.511397578997016</v>
      </c>
      <c r="O143" s="19">
        <f t="shared" si="52"/>
        <v>3.314600376226847</v>
      </c>
      <c r="P143" s="20">
        <v>8.6E-3</v>
      </c>
      <c r="Q143" s="21">
        <f t="shared" ref="Q143" si="62">(EXP(P143)-1)*100</f>
        <v>0.8637086237645919</v>
      </c>
      <c r="R143" s="119">
        <f>(EXP(-0.188) - 1) * 100</f>
        <v>-17.138529276731941</v>
      </c>
      <c r="S143" s="119">
        <f>(EXP(0.205) - 1) * 100</f>
        <v>22.752506496317771</v>
      </c>
      <c r="T143" s="130">
        <v>0.90959999999999996</v>
      </c>
      <c r="U143" s="39">
        <v>47181</v>
      </c>
      <c r="V143" s="39">
        <v>37</v>
      </c>
      <c r="W143" s="19">
        <f t="shared" si="53"/>
        <v>78.421398444289011</v>
      </c>
      <c r="X143" s="19">
        <f>LN(W143)</f>
        <v>4.3620968294556173</v>
      </c>
      <c r="Y143" s="20">
        <v>0.11509999999999999</v>
      </c>
      <c r="Z143" s="21">
        <f t="shared" ref="Z143" si="63">(EXP(Y143)-1)*100</f>
        <v>12.19856305252498</v>
      </c>
      <c r="AA143" s="119">
        <f>(EXP(-0.011) - 1) * 100</f>
        <v>-1.0939721224631271</v>
      </c>
      <c r="AB143" s="119">
        <f>(EXP(0.242) - 1) * 100</f>
        <v>27.379419281619487</v>
      </c>
      <c r="AC143" s="130">
        <v>6.4699999999999994E-2</v>
      </c>
    </row>
    <row r="144" spans="1:137" ht="15.6" thickTop="1" thickBot="1" x14ac:dyDescent="0.35">
      <c r="A144" s="43"/>
      <c r="B144" s="39">
        <v>2017</v>
      </c>
      <c r="C144" s="39">
        <v>183438</v>
      </c>
      <c r="D144" s="39">
        <v>6</v>
      </c>
      <c r="E144" s="19">
        <f t="shared" si="49"/>
        <v>3.2708599090700945</v>
      </c>
      <c r="F144" s="19">
        <f t="shared" si="50"/>
        <v>1.1850529194734252</v>
      </c>
      <c r="G144" s="25"/>
      <c r="H144" s="21"/>
      <c r="I144" s="123"/>
      <c r="J144" s="123"/>
      <c r="K144" s="133"/>
      <c r="L144" s="39">
        <v>104473</v>
      </c>
      <c r="M144" s="39">
        <v>23</v>
      </c>
      <c r="N144" s="19">
        <f t="shared" si="51"/>
        <v>22.015257530653855</v>
      </c>
      <c r="O144" s="19">
        <f t="shared" si="52"/>
        <v>3.0917357371022245</v>
      </c>
      <c r="P144" s="25"/>
      <c r="Q144" s="21"/>
      <c r="R144" s="123"/>
      <c r="S144" s="123"/>
      <c r="T144" s="133"/>
      <c r="U144" s="39">
        <v>48605</v>
      </c>
      <c r="V144" s="39">
        <v>61</v>
      </c>
      <c r="W144" s="19">
        <f t="shared" si="53"/>
        <v>125.50149161608887</v>
      </c>
      <c r="X144" s="19">
        <f t="shared" si="54"/>
        <v>4.8323176438883699</v>
      </c>
      <c r="Y144" s="25"/>
      <c r="Z144" s="21"/>
      <c r="AA144" s="123"/>
      <c r="AB144" s="123"/>
      <c r="AC144" s="133"/>
    </row>
    <row r="145" spans="1:29" ht="15.6" thickTop="1" thickBot="1" x14ac:dyDescent="0.35">
      <c r="A145" s="43"/>
      <c r="B145" s="39">
        <v>2018</v>
      </c>
      <c r="C145" s="39">
        <v>188730</v>
      </c>
      <c r="D145" s="39">
        <v>5</v>
      </c>
      <c r="E145" s="19">
        <f t="shared" si="49"/>
        <v>2.6492873417050813</v>
      </c>
      <c r="F145" s="19">
        <f t="shared" si="50"/>
        <v>0.97429067617214371</v>
      </c>
      <c r="G145" s="25"/>
      <c r="H145" s="21"/>
      <c r="I145" s="123"/>
      <c r="J145" s="123"/>
      <c r="K145" s="133"/>
      <c r="L145" s="39">
        <v>107295</v>
      </c>
      <c r="M145" s="39">
        <v>16</v>
      </c>
      <c r="N145" s="19">
        <f t="shared" si="51"/>
        <v>14.912158068875529</v>
      </c>
      <c r="O145" s="19">
        <f t="shared" si="52"/>
        <v>2.7021768579994156</v>
      </c>
      <c r="P145" s="25"/>
      <c r="Q145" s="21"/>
      <c r="R145" s="123"/>
      <c r="S145" s="123"/>
      <c r="T145" s="133"/>
      <c r="U145" s="39">
        <v>50028</v>
      </c>
      <c r="V145" s="39">
        <v>57</v>
      </c>
      <c r="W145" s="19">
        <f t="shared" si="53"/>
        <v>113.93619573039098</v>
      </c>
      <c r="X145" s="19">
        <f t="shared" si="54"/>
        <v>4.7356386051359811</v>
      </c>
      <c r="Y145" s="25"/>
      <c r="Z145" s="21"/>
      <c r="AA145" s="123"/>
      <c r="AB145" s="123"/>
      <c r="AC145" s="133"/>
    </row>
    <row r="146" spans="1:29" ht="15.6" thickTop="1" thickBot="1" x14ac:dyDescent="0.35">
      <c r="A146" s="43"/>
      <c r="B146" s="39">
        <v>2019</v>
      </c>
      <c r="C146" s="39">
        <v>194225</v>
      </c>
      <c r="D146" s="39">
        <v>10</v>
      </c>
      <c r="E146" s="19">
        <f t="shared" si="49"/>
        <v>5.1486677822113531</v>
      </c>
      <c r="F146" s="19">
        <f t="shared" si="50"/>
        <v>1.6387379981456527</v>
      </c>
      <c r="G146" s="25"/>
      <c r="H146" s="21"/>
      <c r="I146" s="123"/>
      <c r="J146" s="123"/>
      <c r="K146" s="133"/>
      <c r="L146" s="39">
        <v>110323</v>
      </c>
      <c r="M146" s="39">
        <v>18</v>
      </c>
      <c r="N146" s="19">
        <f t="shared" si="51"/>
        <v>16.315727454837159</v>
      </c>
      <c r="O146" s="19">
        <f t="shared" si="52"/>
        <v>2.7921295171503853</v>
      </c>
      <c r="P146" s="25"/>
      <c r="Q146" s="21"/>
      <c r="R146" s="123"/>
      <c r="S146" s="123"/>
      <c r="T146" s="133"/>
      <c r="U146" s="39">
        <v>51320</v>
      </c>
      <c r="V146" s="39">
        <v>72</v>
      </c>
      <c r="W146" s="19">
        <f t="shared" si="53"/>
        <v>140.29618082618862</v>
      </c>
      <c r="X146" s="19">
        <f t="shared" si="54"/>
        <v>4.9437557652567108</v>
      </c>
      <c r="Y146" s="25"/>
      <c r="Z146" s="21"/>
      <c r="AA146" s="123"/>
      <c r="AB146" s="123"/>
      <c r="AC146" s="133"/>
    </row>
    <row r="147" spans="1:29" ht="15.6" thickTop="1" thickBot="1" x14ac:dyDescent="0.35">
      <c r="A147" s="43"/>
      <c r="B147" s="39">
        <v>2020</v>
      </c>
      <c r="C147" s="39">
        <v>199413</v>
      </c>
      <c r="D147" s="39">
        <v>3</v>
      </c>
      <c r="E147" s="19">
        <f>(D147/C147)*100000</f>
        <v>1.5044154593732604</v>
      </c>
      <c r="F147" s="19">
        <f t="shared" si="50"/>
        <v>0.40840442366684265</v>
      </c>
      <c r="G147" s="25"/>
      <c r="H147" s="21"/>
      <c r="I147" s="123"/>
      <c r="J147" s="123"/>
      <c r="K147" s="133"/>
      <c r="L147" s="39">
        <v>113178</v>
      </c>
      <c r="M147" s="39">
        <v>31</v>
      </c>
      <c r="N147" s="19">
        <f t="shared" si="51"/>
        <v>27.390482249200375</v>
      </c>
      <c r="O147" s="19">
        <f t="shared" si="52"/>
        <v>3.3101955898815949</v>
      </c>
      <c r="P147" s="25"/>
      <c r="Q147" s="21"/>
      <c r="R147" s="123"/>
      <c r="S147" s="123"/>
      <c r="T147" s="133"/>
      <c r="U147" s="39">
        <v>52032</v>
      </c>
      <c r="V147" s="39">
        <v>93</v>
      </c>
      <c r="W147" s="19">
        <f t="shared" si="53"/>
        <v>178.73616236162363</v>
      </c>
      <c r="X147" s="19">
        <f t="shared" si="54"/>
        <v>5.1859107652160024</v>
      </c>
      <c r="Y147" s="25"/>
      <c r="Z147" s="21"/>
      <c r="AA147" s="123"/>
      <c r="AB147" s="123"/>
      <c r="AC147" s="133"/>
    </row>
    <row r="148" spans="1:29" ht="15.6" thickTop="1" thickBot="1" x14ac:dyDescent="0.35">
      <c r="A148" s="47"/>
      <c r="B148" s="39">
        <v>2021</v>
      </c>
      <c r="C148" s="39">
        <v>204230</v>
      </c>
      <c r="D148" s="39">
        <v>6</v>
      </c>
      <c r="E148" s="19">
        <f t="shared" si="49"/>
        <v>2.9378641727464134</v>
      </c>
      <c r="F148" s="19">
        <f t="shared" si="50"/>
        <v>1.0776828454870799</v>
      </c>
      <c r="G148" s="34"/>
      <c r="H148" s="21"/>
      <c r="I148" s="126"/>
      <c r="J148" s="126"/>
      <c r="K148" s="136"/>
      <c r="L148" s="39">
        <v>115785</v>
      </c>
      <c r="M148" s="39">
        <v>29</v>
      </c>
      <c r="N148" s="19">
        <f t="shared" si="51"/>
        <v>25.046422248132313</v>
      </c>
      <c r="O148" s="19">
        <f t="shared" si="52"/>
        <v>3.2207309929046386</v>
      </c>
      <c r="P148" s="34"/>
      <c r="Q148" s="21"/>
      <c r="R148" s="126"/>
      <c r="S148" s="126"/>
      <c r="T148" s="136"/>
      <c r="U148" s="39">
        <v>52090</v>
      </c>
      <c r="V148" s="39">
        <v>71</v>
      </c>
      <c r="W148" s="19">
        <f t="shared" si="53"/>
        <v>136.30255327318105</v>
      </c>
      <c r="X148" s="19">
        <f t="shared" si="54"/>
        <v>4.9148770712723069</v>
      </c>
      <c r="Y148" s="34"/>
      <c r="Z148" s="21"/>
      <c r="AA148" s="126"/>
      <c r="AB148" s="126"/>
      <c r="AC148" s="136"/>
    </row>
    <row r="149" spans="1:29" ht="15.6" thickTop="1" thickBot="1" x14ac:dyDescent="0.35">
      <c r="A149" s="16" t="s">
        <v>297</v>
      </c>
      <c r="B149" s="17">
        <v>2016</v>
      </c>
      <c r="C149" s="17">
        <v>120525</v>
      </c>
      <c r="D149" s="17">
        <v>7</v>
      </c>
      <c r="E149" s="19">
        <f t="shared" si="49"/>
        <v>5.8079236672889438</v>
      </c>
      <c r="F149" s="19">
        <f t="shared" si="50"/>
        <v>1.7592231347517187</v>
      </c>
      <c r="G149" s="20">
        <v>3.3700000000000001E-2</v>
      </c>
      <c r="H149" s="21">
        <f t="shared" ref="H149" si="64">(EXP(G149)-1)*100</f>
        <v>3.4274277897751393</v>
      </c>
      <c r="I149" s="119">
        <f>(EXP(-0.327) - 1) * 100</f>
        <v>-27.891625697339293</v>
      </c>
      <c r="J149" s="119">
        <f>(EXP(0.394) - 1) * 100</f>
        <v>48.290054867475305</v>
      </c>
      <c r="K149" s="120">
        <v>0.80800000000000005</v>
      </c>
      <c r="L149" s="17">
        <v>71061</v>
      </c>
      <c r="M149" s="17">
        <v>25</v>
      </c>
      <c r="N149" s="19">
        <f t="shared" si="51"/>
        <v>35.181041640280888</v>
      </c>
      <c r="O149" s="19">
        <f t="shared" si="52"/>
        <v>3.5605073477477376</v>
      </c>
      <c r="P149" s="20">
        <v>7.51E-2</v>
      </c>
      <c r="Q149" s="21">
        <f t="shared" ref="Q149" si="65">(EXP(P149)-1)*100</f>
        <v>7.7991944689320469</v>
      </c>
      <c r="R149" s="119">
        <f>(EXP(-0.053) - 1) * 100</f>
        <v>-5.1619987517701809</v>
      </c>
      <c r="S149" s="119">
        <f>(EXP(0.203) - 1) * 100</f>
        <v>22.507246824749917</v>
      </c>
      <c r="T149" s="120">
        <v>0.1792</v>
      </c>
      <c r="U149" s="17">
        <v>33826</v>
      </c>
      <c r="V149" s="17">
        <v>85</v>
      </c>
      <c r="W149" s="19">
        <f t="shared" si="53"/>
        <v>251.28599302311829</v>
      </c>
      <c r="X149" s="19">
        <f t="shared" si="54"/>
        <v>5.5265917049265578</v>
      </c>
      <c r="Y149" s="20">
        <v>6.6900000000000001E-2</v>
      </c>
      <c r="Z149" s="21">
        <f t="shared" ref="Z149" si="66">(EXP(Y149)-1)*100</f>
        <v>6.9188553973081879</v>
      </c>
      <c r="AA149" s="119">
        <f>(EXP(0.045) - 1) * 100</f>
        <v>4.6027859908716939</v>
      </c>
      <c r="AB149" s="119">
        <f>(EXP(0.088) - 1) * 100</f>
        <v>9.1988122028197505</v>
      </c>
      <c r="AC149" s="120">
        <v>1E-3</v>
      </c>
    </row>
    <row r="150" spans="1:29" ht="15.6" thickTop="1" thickBot="1" x14ac:dyDescent="0.35">
      <c r="A150" s="24"/>
      <c r="B150" s="122">
        <v>2017</v>
      </c>
      <c r="C150" s="17">
        <v>123338</v>
      </c>
      <c r="D150" s="17">
        <v>4</v>
      </c>
      <c r="E150" s="19">
        <f t="shared" si="49"/>
        <v>3.2431205305745192</v>
      </c>
      <c r="F150" s="19">
        <f t="shared" si="50"/>
        <v>1.1765359930158168</v>
      </c>
      <c r="G150" s="25"/>
      <c r="H150" s="21"/>
      <c r="I150" s="123"/>
      <c r="J150" s="123"/>
      <c r="K150" s="124"/>
      <c r="L150" s="17">
        <v>72992</v>
      </c>
      <c r="M150" s="17">
        <v>36</v>
      </c>
      <c r="N150" s="19">
        <f t="shared" si="51"/>
        <v>49.320473476545381</v>
      </c>
      <c r="O150" s="19">
        <f t="shared" si="52"/>
        <v>3.8983392783422239</v>
      </c>
      <c r="P150" s="25"/>
      <c r="Q150" s="21"/>
      <c r="R150" s="123"/>
      <c r="S150" s="123"/>
      <c r="T150" s="124"/>
      <c r="U150" s="17">
        <v>34835</v>
      </c>
      <c r="V150" s="17">
        <v>90</v>
      </c>
      <c r="W150" s="19">
        <f t="shared" si="53"/>
        <v>258.36084397875698</v>
      </c>
      <c r="X150" s="19">
        <f t="shared" si="54"/>
        <v>5.5543572278362738</v>
      </c>
      <c r="Y150" s="25"/>
      <c r="Z150" s="21"/>
      <c r="AA150" s="123"/>
      <c r="AB150" s="123"/>
      <c r="AC150" s="124"/>
    </row>
    <row r="151" spans="1:29" ht="15.6" thickTop="1" thickBot="1" x14ac:dyDescent="0.35">
      <c r="A151" s="24"/>
      <c r="B151" s="122">
        <v>2018</v>
      </c>
      <c r="C151" s="17">
        <v>126378</v>
      </c>
      <c r="D151" s="17">
        <v>2</v>
      </c>
      <c r="E151" s="19">
        <f t="shared" si="49"/>
        <v>1.5825539255250123</v>
      </c>
      <c r="F151" s="19">
        <f t="shared" si="50"/>
        <v>0.45903995061676023</v>
      </c>
      <c r="G151" s="25"/>
      <c r="H151" s="21"/>
      <c r="I151" s="123"/>
      <c r="J151" s="123"/>
      <c r="K151" s="124"/>
      <c r="L151" s="17">
        <v>74998</v>
      </c>
      <c r="M151" s="17">
        <v>25</v>
      </c>
      <c r="N151" s="19">
        <f t="shared" si="51"/>
        <v>33.334222245926554</v>
      </c>
      <c r="O151" s="19">
        <f t="shared" si="52"/>
        <v>3.50658456434221</v>
      </c>
      <c r="P151" s="25"/>
      <c r="Q151" s="21"/>
      <c r="R151" s="123"/>
      <c r="S151" s="123"/>
      <c r="T151" s="124"/>
      <c r="U151" s="17">
        <v>35982</v>
      </c>
      <c r="V151" s="17">
        <v>95</v>
      </c>
      <c r="W151" s="19">
        <f t="shared" si="53"/>
        <v>264.02089933855814</v>
      </c>
      <c r="X151" s="19">
        <f t="shared" si="54"/>
        <v>5.5760282641742043</v>
      </c>
      <c r="Y151" s="25"/>
      <c r="Z151" s="21"/>
      <c r="AA151" s="123"/>
      <c r="AB151" s="123"/>
      <c r="AC151" s="124"/>
    </row>
    <row r="152" spans="1:29" ht="15.6" thickTop="1" thickBot="1" x14ac:dyDescent="0.35">
      <c r="A152" s="24"/>
      <c r="B152" s="122">
        <v>2019</v>
      </c>
      <c r="C152" s="17">
        <v>129898</v>
      </c>
      <c r="D152" s="17">
        <v>7</v>
      </c>
      <c r="E152" s="19">
        <f t="shared" si="49"/>
        <v>5.388843554173274</v>
      </c>
      <c r="F152" s="19">
        <f t="shared" si="50"/>
        <v>1.6843308079441919</v>
      </c>
      <c r="G152" s="25"/>
      <c r="H152" s="21"/>
      <c r="I152" s="123"/>
      <c r="J152" s="123"/>
      <c r="K152" s="124"/>
      <c r="L152" s="17">
        <v>77124</v>
      </c>
      <c r="M152" s="17">
        <v>41</v>
      </c>
      <c r="N152" s="19">
        <f t="shared" si="51"/>
        <v>53.161143094237858</v>
      </c>
      <c r="O152" s="19">
        <f t="shared" si="52"/>
        <v>3.97332773651525</v>
      </c>
      <c r="P152" s="25"/>
      <c r="Q152" s="21"/>
      <c r="R152" s="123"/>
      <c r="S152" s="123"/>
      <c r="T152" s="124"/>
      <c r="U152" s="17">
        <v>37098</v>
      </c>
      <c r="V152" s="17">
        <v>110</v>
      </c>
      <c r="W152" s="19">
        <f t="shared" si="53"/>
        <v>296.51194134454687</v>
      </c>
      <c r="X152" s="19">
        <f t="shared" si="54"/>
        <v>5.6920874919760207</v>
      </c>
      <c r="Y152" s="25"/>
      <c r="Z152" s="21"/>
      <c r="AA152" s="123"/>
      <c r="AB152" s="123"/>
      <c r="AC152" s="124"/>
    </row>
    <row r="153" spans="1:29" ht="15.6" thickTop="1" thickBot="1" x14ac:dyDescent="0.35">
      <c r="A153" s="24"/>
      <c r="B153" s="122">
        <v>2020</v>
      </c>
      <c r="C153" s="17">
        <v>133834</v>
      </c>
      <c r="D153" s="17">
        <v>7</v>
      </c>
      <c r="E153" s="19">
        <f t="shared" si="49"/>
        <v>5.2303599982067333</v>
      </c>
      <c r="F153" s="19">
        <f t="shared" si="50"/>
        <v>1.6544801090170549</v>
      </c>
      <c r="G153" s="25"/>
      <c r="H153" s="21"/>
      <c r="I153" s="123"/>
      <c r="J153" s="123"/>
      <c r="K153" s="124"/>
      <c r="L153" s="17">
        <v>79161</v>
      </c>
      <c r="M153" s="17">
        <v>35</v>
      </c>
      <c r="N153" s="19">
        <f t="shared" si="51"/>
        <v>44.213691085256634</v>
      </c>
      <c r="O153" s="19">
        <f t="shared" si="52"/>
        <v>3.7890344941801826</v>
      </c>
      <c r="P153" s="25"/>
      <c r="Q153" s="21"/>
      <c r="R153" s="123"/>
      <c r="S153" s="123"/>
      <c r="T153" s="124"/>
      <c r="U153" s="17">
        <v>37982</v>
      </c>
      <c r="V153" s="17">
        <v>120</v>
      </c>
      <c r="W153" s="19">
        <f t="shared" si="53"/>
        <v>315.93912906113422</v>
      </c>
      <c r="X153" s="19">
        <f t="shared" si="54"/>
        <v>5.7555495654780842</v>
      </c>
      <c r="Y153" s="25"/>
      <c r="Z153" s="21"/>
      <c r="AA153" s="123"/>
      <c r="AB153" s="123"/>
      <c r="AC153" s="124"/>
    </row>
    <row r="154" spans="1:29" ht="15.6" thickTop="1" thickBot="1" x14ac:dyDescent="0.35">
      <c r="A154" s="33"/>
      <c r="B154" s="122">
        <v>2021</v>
      </c>
      <c r="C154" s="17">
        <v>138039</v>
      </c>
      <c r="D154" s="17">
        <v>6</v>
      </c>
      <c r="E154" s="19">
        <f t="shared" si="49"/>
        <v>4.3465977006498164</v>
      </c>
      <c r="F154" s="19">
        <f t="shared" si="50"/>
        <v>1.4693934012896048</v>
      </c>
      <c r="G154" s="34"/>
      <c r="H154" s="21"/>
      <c r="I154" s="126"/>
      <c r="J154" s="126"/>
      <c r="K154" s="127"/>
      <c r="L154" s="17">
        <v>80980</v>
      </c>
      <c r="M154" s="17">
        <v>47</v>
      </c>
      <c r="N154" s="19">
        <f t="shared" si="51"/>
        <v>58.039021980735988</v>
      </c>
      <c r="O154" s="19">
        <f t="shared" si="52"/>
        <v>4.0611155770941352</v>
      </c>
      <c r="P154" s="34"/>
      <c r="Q154" s="21"/>
      <c r="R154" s="126"/>
      <c r="S154" s="126"/>
      <c r="T154" s="127"/>
      <c r="U154" s="17">
        <v>38541</v>
      </c>
      <c r="V154" s="17">
        <v>134</v>
      </c>
      <c r="W154" s="19">
        <f t="shared" si="53"/>
        <v>347.68168962922601</v>
      </c>
      <c r="X154" s="19">
        <f t="shared" si="54"/>
        <v>5.8512873762214204</v>
      </c>
      <c r="Y154" s="34"/>
      <c r="Z154" s="21"/>
      <c r="AA154" s="126"/>
      <c r="AB154" s="126"/>
      <c r="AC154" s="127"/>
    </row>
    <row r="155" spans="1:29" ht="15.6" thickTop="1" thickBot="1" x14ac:dyDescent="0.35">
      <c r="A155" s="38" t="s">
        <v>298</v>
      </c>
      <c r="B155" s="39">
        <v>2016</v>
      </c>
      <c r="C155" s="39">
        <v>266524</v>
      </c>
      <c r="D155" s="39">
        <v>9</v>
      </c>
      <c r="E155" s="19">
        <f t="shared" si="49"/>
        <v>3.3768065915264667</v>
      </c>
      <c r="F155" s="19">
        <f t="shared" si="50"/>
        <v>1.216930467488057</v>
      </c>
      <c r="G155" s="20">
        <v>5.11E-2</v>
      </c>
      <c r="H155" s="21">
        <f t="shared" ref="H155" si="67">(EXP(G155)-1)*100</f>
        <v>5.2428130834322184</v>
      </c>
      <c r="I155" s="138">
        <f>(EXP(-0.215) - 1) * 100</f>
        <v>-19.345855982267313</v>
      </c>
      <c r="J155" s="119">
        <f>(EXP(0.318) - 1) * 100</f>
        <v>37.437626122756114</v>
      </c>
      <c r="K155" s="130">
        <v>0.62239999999999995</v>
      </c>
      <c r="L155" s="39">
        <v>145123</v>
      </c>
      <c r="M155" s="39">
        <v>61</v>
      </c>
      <c r="N155" s="19">
        <f t="shared" si="51"/>
        <v>42.033309675241</v>
      </c>
      <c r="O155" s="19">
        <f t="shared" si="52"/>
        <v>3.7384623914613924</v>
      </c>
      <c r="P155" s="20">
        <v>5.1999999999999998E-2</v>
      </c>
      <c r="Q155" s="21">
        <f t="shared" ref="Q155" si="68">(EXP(P155)-1)*100</f>
        <v>5.3375742513364743</v>
      </c>
      <c r="R155" s="119">
        <f>(EXP(-0.055) - 1) * 100</f>
        <v>-5.3514852046516186</v>
      </c>
      <c r="S155" s="119">
        <f>(EXP(0.159) - 1) * 100</f>
        <v>17.233794668071756</v>
      </c>
      <c r="T155" s="130">
        <v>0.25009999999999999</v>
      </c>
      <c r="U155" s="39">
        <v>62125</v>
      </c>
      <c r="V155" s="39">
        <v>164</v>
      </c>
      <c r="W155" s="19">
        <f t="shared" si="53"/>
        <v>263.98390342052312</v>
      </c>
      <c r="X155" s="19">
        <f t="shared" si="54"/>
        <v>5.5758881293954969</v>
      </c>
      <c r="Y155" s="20">
        <v>3.3399999999999999E-2</v>
      </c>
      <c r="Z155" s="21">
        <f t="shared" ref="Z155" si="69">(EXP(Y155)-1)*100</f>
        <v>3.3964042152070828</v>
      </c>
      <c r="AA155" s="119">
        <f>(EXP(-0.006) - 1) * 100</f>
        <v>-0.59820359460647232</v>
      </c>
      <c r="AB155" s="119">
        <f>(EXP(0.073) - 1) * 100</f>
        <v>7.5730536914703439</v>
      </c>
      <c r="AC155" s="130">
        <v>8.0100000000000005E-2</v>
      </c>
    </row>
    <row r="156" spans="1:29" ht="15.6" thickTop="1" thickBot="1" x14ac:dyDescent="0.35">
      <c r="A156" s="43"/>
      <c r="B156" s="39">
        <v>2017</v>
      </c>
      <c r="C156" s="39">
        <v>273983</v>
      </c>
      <c r="D156" s="39">
        <v>21</v>
      </c>
      <c r="E156" s="19">
        <f t="shared" si="49"/>
        <v>7.6647091242887333</v>
      </c>
      <c r="F156" s="19">
        <f t="shared" si="50"/>
        <v>2.0366265630438605</v>
      </c>
      <c r="G156" s="25"/>
      <c r="H156" s="21"/>
      <c r="I156" s="139"/>
      <c r="J156" s="123"/>
      <c r="K156" s="133"/>
      <c r="L156" s="39">
        <v>149847</v>
      </c>
      <c r="M156" s="39">
        <v>85</v>
      </c>
      <c r="N156" s="19">
        <f t="shared" si="51"/>
        <v>56.724525682863188</v>
      </c>
      <c r="O156" s="19">
        <f t="shared" si="52"/>
        <v>4.0382066689361586</v>
      </c>
      <c r="P156" s="25"/>
      <c r="Q156" s="21"/>
      <c r="R156" s="123"/>
      <c r="S156" s="123"/>
      <c r="T156" s="133"/>
      <c r="U156" s="39">
        <v>64074</v>
      </c>
      <c r="V156" s="39">
        <v>181</v>
      </c>
      <c r="W156" s="19">
        <f t="shared" si="53"/>
        <v>282.4858757062147</v>
      </c>
      <c r="X156" s="19">
        <f t="shared" si="54"/>
        <v>5.6436285518364544</v>
      </c>
      <c r="Y156" s="25"/>
      <c r="Z156" s="21"/>
      <c r="AA156" s="123"/>
      <c r="AB156" s="123"/>
      <c r="AC156" s="133"/>
    </row>
    <row r="157" spans="1:29" ht="15.6" thickTop="1" thickBot="1" x14ac:dyDescent="0.35">
      <c r="A157" s="43"/>
      <c r="B157" s="39">
        <v>2018</v>
      </c>
      <c r="C157" s="39">
        <v>281939</v>
      </c>
      <c r="D157" s="39">
        <v>9</v>
      </c>
      <c r="E157" s="19">
        <f t="shared" si="49"/>
        <v>3.1921798686950011</v>
      </c>
      <c r="F157" s="19">
        <f t="shared" si="50"/>
        <v>1.160704027841762</v>
      </c>
      <c r="G157" s="25"/>
      <c r="H157" s="21"/>
      <c r="I157" s="139"/>
      <c r="J157" s="123"/>
      <c r="K157" s="133"/>
      <c r="L157" s="39">
        <v>154906</v>
      </c>
      <c r="M157" s="39">
        <v>63</v>
      </c>
      <c r="N157" s="19">
        <f t="shared" si="51"/>
        <v>40.669825571636991</v>
      </c>
      <c r="O157" s="19">
        <f t="shared" si="52"/>
        <v>3.7054864310394415</v>
      </c>
      <c r="P157" s="25"/>
      <c r="Q157" s="21"/>
      <c r="R157" s="123"/>
      <c r="S157" s="123"/>
      <c r="T157" s="133"/>
      <c r="U157" s="39">
        <v>66378</v>
      </c>
      <c r="V157" s="39">
        <v>169</v>
      </c>
      <c r="W157" s="19">
        <f t="shared" si="53"/>
        <v>254.60242851547198</v>
      </c>
      <c r="X157" s="19">
        <f t="shared" si="54"/>
        <v>5.5397032246303359</v>
      </c>
      <c r="Y157" s="25"/>
      <c r="Z157" s="21"/>
      <c r="AA157" s="123"/>
      <c r="AB157" s="123"/>
      <c r="AC157" s="133"/>
    </row>
    <row r="158" spans="1:29" ht="15.6" thickTop="1" thickBot="1" x14ac:dyDescent="0.35">
      <c r="A158" s="43"/>
      <c r="B158" s="39">
        <v>2019</v>
      </c>
      <c r="C158" s="39">
        <v>290618</v>
      </c>
      <c r="D158" s="39">
        <v>17</v>
      </c>
      <c r="E158" s="19">
        <f t="shared" si="49"/>
        <v>5.8496032592612988</v>
      </c>
      <c r="F158" s="19">
        <f t="shared" si="50"/>
        <v>1.766373840014265</v>
      </c>
      <c r="G158" s="25"/>
      <c r="H158" s="21"/>
      <c r="I158" s="139"/>
      <c r="J158" s="123"/>
      <c r="K158" s="133"/>
      <c r="L158" s="39">
        <v>160142</v>
      </c>
      <c r="M158" s="39">
        <v>70</v>
      </c>
      <c r="N158" s="19">
        <f t="shared" si="51"/>
        <v>43.71120630440484</v>
      </c>
      <c r="O158" s="19">
        <f t="shared" si="52"/>
        <v>3.7776045063988883</v>
      </c>
      <c r="P158" s="25"/>
      <c r="Q158" s="21"/>
      <c r="R158" s="123"/>
      <c r="S158" s="123"/>
      <c r="T158" s="133"/>
      <c r="U158" s="39">
        <v>68735</v>
      </c>
      <c r="V158" s="39">
        <v>212</v>
      </c>
      <c r="W158" s="19">
        <f t="shared" si="53"/>
        <v>308.43093038481123</v>
      </c>
      <c r="X158" s="19">
        <f t="shared" si="54"/>
        <v>5.7314979297367206</v>
      </c>
      <c r="Y158" s="25"/>
      <c r="Z158" s="21"/>
      <c r="AA158" s="123"/>
      <c r="AB158" s="123"/>
      <c r="AC158" s="133"/>
    </row>
    <row r="159" spans="1:29" ht="15.6" thickTop="1" thickBot="1" x14ac:dyDescent="0.35">
      <c r="A159" s="43"/>
      <c r="B159" s="39">
        <v>2020</v>
      </c>
      <c r="C159" s="39">
        <v>299373</v>
      </c>
      <c r="D159" s="39">
        <v>21</v>
      </c>
      <c r="E159" s="19">
        <f t="shared" si="49"/>
        <v>7.0146606407391454</v>
      </c>
      <c r="F159" s="19">
        <f t="shared" si="50"/>
        <v>1.9480023361532011</v>
      </c>
      <c r="G159" s="25"/>
      <c r="H159" s="21"/>
      <c r="I159" s="139"/>
      <c r="J159" s="123"/>
      <c r="K159" s="133"/>
      <c r="L159" s="39">
        <v>164468</v>
      </c>
      <c r="M159" s="39">
        <v>89</v>
      </c>
      <c r="N159" s="19">
        <f t="shared" si="51"/>
        <v>54.113870175353263</v>
      </c>
      <c r="O159" s="19">
        <f t="shared" si="52"/>
        <v>3.9910905333133804</v>
      </c>
      <c r="P159" s="25"/>
      <c r="Q159" s="21"/>
      <c r="R159" s="123"/>
      <c r="S159" s="123"/>
      <c r="T159" s="133"/>
      <c r="U159" s="39">
        <v>70347</v>
      </c>
      <c r="V159" s="39">
        <v>211</v>
      </c>
      <c r="W159" s="19">
        <f t="shared" si="53"/>
        <v>299.94171748617566</v>
      </c>
      <c r="X159" s="19">
        <f t="shared" si="54"/>
        <v>5.7035881807362783</v>
      </c>
      <c r="Y159" s="25"/>
      <c r="Z159" s="21"/>
      <c r="AA159" s="123"/>
      <c r="AB159" s="123"/>
      <c r="AC159" s="133"/>
    </row>
    <row r="160" spans="1:29" ht="15.6" thickTop="1" thickBot="1" x14ac:dyDescent="0.35">
      <c r="A160" s="47"/>
      <c r="B160" s="39">
        <v>2021</v>
      </c>
      <c r="C160" s="39">
        <v>308148</v>
      </c>
      <c r="D160" s="39">
        <v>14</v>
      </c>
      <c r="E160" s="19">
        <f t="shared" si="49"/>
        <v>4.5432714150343338</v>
      </c>
      <c r="F160" s="19">
        <f t="shared" si="50"/>
        <v>1.5136473285617711</v>
      </c>
      <c r="G160" s="34"/>
      <c r="H160" s="21"/>
      <c r="I160" s="140"/>
      <c r="J160" s="126"/>
      <c r="K160" s="136"/>
      <c r="L160" s="39">
        <v>167866</v>
      </c>
      <c r="M160" s="39">
        <v>103</v>
      </c>
      <c r="N160" s="19">
        <f t="shared" si="51"/>
        <v>61.358464489533326</v>
      </c>
      <c r="O160" s="19">
        <f t="shared" si="52"/>
        <v>4.1167331321294087</v>
      </c>
      <c r="P160" s="34"/>
      <c r="Q160" s="21"/>
      <c r="R160" s="126"/>
      <c r="S160" s="126"/>
      <c r="T160" s="136"/>
      <c r="U160" s="39">
        <v>71360</v>
      </c>
      <c r="V160" s="39">
        <v>223</v>
      </c>
      <c r="W160" s="19">
        <f t="shared" si="53"/>
        <v>312.5</v>
      </c>
      <c r="X160" s="19">
        <f t="shared" si="54"/>
        <v>5.7446044691764566</v>
      </c>
      <c r="Y160" s="34"/>
      <c r="Z160" s="21"/>
      <c r="AA160" s="126"/>
      <c r="AB160" s="126"/>
      <c r="AC160" s="136"/>
    </row>
    <row r="161" spans="1:29" ht="15.6" thickTop="1" thickBot="1" x14ac:dyDescent="0.35">
      <c r="A161" s="16" t="s">
        <v>299</v>
      </c>
      <c r="B161" s="17">
        <v>2016</v>
      </c>
      <c r="C161" s="17">
        <v>100950</v>
      </c>
      <c r="D161" s="17">
        <v>4</v>
      </c>
      <c r="E161" s="19">
        <f t="shared" si="49"/>
        <v>3.9623576027736505</v>
      </c>
      <c r="F161" s="19">
        <f t="shared" si="50"/>
        <v>1.3768392023491356</v>
      </c>
      <c r="G161" s="20">
        <v>0.17860000000000001</v>
      </c>
      <c r="H161" s="21">
        <f t="shared" ref="H161" si="70">(EXP(G161)-1)*100</f>
        <v>19.554243153911965</v>
      </c>
      <c r="I161" s="138">
        <f>(EXP(-0.254) - 1) * 100</f>
        <v>-22.430819795352399</v>
      </c>
      <c r="J161" s="119">
        <f>(EXP(0.611) - 1) * 100</f>
        <v>84.227275070293373</v>
      </c>
      <c r="K161" s="120">
        <v>0.31540000000000001</v>
      </c>
      <c r="L161" s="17">
        <v>58229</v>
      </c>
      <c r="M161" s="17">
        <v>16</v>
      </c>
      <c r="N161" s="19">
        <f t="shared" si="51"/>
        <v>27.477717288636249</v>
      </c>
      <c r="O161" s="19">
        <f t="shared" si="52"/>
        <v>3.3133753958046852</v>
      </c>
      <c r="P161" s="20">
        <v>8.1699999999999995E-2</v>
      </c>
      <c r="Q161" s="21">
        <f t="shared" ref="Q161" si="71">(EXP(P161)-1)*100</f>
        <v>8.5130221927227403</v>
      </c>
      <c r="R161" s="119">
        <f>(EXP(0.009) - 1) * 100</f>
        <v>0.90406217738678851</v>
      </c>
      <c r="S161" s="119">
        <f>(EXP(0.154) - 1) * 100</f>
        <v>16.64908867784396</v>
      </c>
      <c r="T161" s="120">
        <v>3.5400000000000001E-2</v>
      </c>
      <c r="U161" s="17">
        <v>26763</v>
      </c>
      <c r="V161" s="17">
        <v>50</v>
      </c>
      <c r="W161" s="19">
        <f t="shared" si="53"/>
        <v>186.82509434667264</v>
      </c>
      <c r="X161" s="19">
        <f t="shared" si="54"/>
        <v>5.2301728548164812</v>
      </c>
      <c r="Y161" s="20">
        <v>8.43E-2</v>
      </c>
      <c r="Z161" s="21">
        <f t="shared" ref="Z161" si="72">(EXP(Y161)-1)*100</f>
        <v>8.7955231425163696</v>
      </c>
      <c r="AA161" s="119">
        <f>(EXP(0.002) - 1) * 100</f>
        <v>0.20020013340003029</v>
      </c>
      <c r="AB161" s="119">
        <f>(EXP(0.166) - 1) * 100</f>
        <v>18.057310172327611</v>
      </c>
      <c r="AC161" s="120">
        <v>4.65E-2</v>
      </c>
    </row>
    <row r="162" spans="1:29" ht="15.6" thickTop="1" thickBot="1" x14ac:dyDescent="0.35">
      <c r="A162" s="24"/>
      <c r="B162" s="122">
        <v>2017</v>
      </c>
      <c r="C162" s="17">
        <v>103654</v>
      </c>
      <c r="D162" s="17">
        <v>1</v>
      </c>
      <c r="E162" s="19">
        <f>(D162/C162)*100000</f>
        <v>0.96474810426997504</v>
      </c>
      <c r="F162" s="19">
        <f t="shared" si="50"/>
        <v>-3.5888243562478384E-2</v>
      </c>
      <c r="G162" s="25"/>
      <c r="H162" s="21"/>
      <c r="I162" s="139"/>
      <c r="J162" s="123"/>
      <c r="K162" s="124"/>
      <c r="L162" s="17">
        <v>60131</v>
      </c>
      <c r="M162" s="17">
        <v>17</v>
      </c>
      <c r="N162" s="19">
        <f t="shared" si="51"/>
        <v>28.271606991402106</v>
      </c>
      <c r="O162" s="19">
        <f t="shared" si="52"/>
        <v>3.3418580144974905</v>
      </c>
      <c r="P162" s="25"/>
      <c r="Q162" s="21"/>
      <c r="R162" s="123"/>
      <c r="S162" s="123"/>
      <c r="T162" s="124"/>
      <c r="U162" s="17">
        <v>27767</v>
      </c>
      <c r="V162" s="17">
        <v>43</v>
      </c>
      <c r="W162" s="19">
        <f t="shared" si="53"/>
        <v>154.86008571325675</v>
      </c>
      <c r="X162" s="19">
        <f t="shared" si="54"/>
        <v>5.0425220364471031</v>
      </c>
      <c r="Y162" s="25"/>
      <c r="Z162" s="21"/>
      <c r="AA162" s="123"/>
      <c r="AB162" s="123"/>
      <c r="AC162" s="124"/>
    </row>
    <row r="163" spans="1:29" ht="15.6" thickTop="1" thickBot="1" x14ac:dyDescent="0.35">
      <c r="A163" s="24"/>
      <c r="B163" s="122">
        <v>2018</v>
      </c>
      <c r="C163" s="17">
        <v>106450</v>
      </c>
      <c r="D163" s="17">
        <v>3</v>
      </c>
      <c r="E163" s="19">
        <f t="shared" si="49"/>
        <v>2.8182245185533112</v>
      </c>
      <c r="F163" s="19">
        <f t="shared" si="50"/>
        <v>1.0361070833167125</v>
      </c>
      <c r="G163" s="25"/>
      <c r="H163" s="21"/>
      <c r="I163" s="139"/>
      <c r="J163" s="123"/>
      <c r="K163" s="124"/>
      <c r="L163" s="17">
        <v>62115</v>
      </c>
      <c r="M163" s="17">
        <v>24</v>
      </c>
      <c r="N163" s="19">
        <f t="shared" si="51"/>
        <v>38.638010142477661</v>
      </c>
      <c r="O163" s="19">
        <f t="shared" si="52"/>
        <v>3.6542365106703967</v>
      </c>
      <c r="P163" s="25"/>
      <c r="Q163" s="21"/>
      <c r="R163" s="123"/>
      <c r="S163" s="123"/>
      <c r="T163" s="124"/>
      <c r="U163" s="17">
        <v>28795</v>
      </c>
      <c r="V163" s="17">
        <v>48</v>
      </c>
      <c r="W163" s="19">
        <f t="shared" si="53"/>
        <v>166.69560687619378</v>
      </c>
      <c r="X163" s="19">
        <f t="shared" si="54"/>
        <v>5.1161694359373469</v>
      </c>
      <c r="Y163" s="25"/>
      <c r="Z163" s="21"/>
      <c r="AA163" s="123"/>
      <c r="AB163" s="123"/>
      <c r="AC163" s="124"/>
    </row>
    <row r="164" spans="1:29" ht="15.6" thickTop="1" thickBot="1" x14ac:dyDescent="0.35">
      <c r="A164" s="24"/>
      <c r="B164" s="122">
        <v>2019</v>
      </c>
      <c r="C164" s="17">
        <v>109485</v>
      </c>
      <c r="D164" s="17">
        <v>2</v>
      </c>
      <c r="E164" s="19">
        <f t="shared" si="49"/>
        <v>1.8267342558341326</v>
      </c>
      <c r="F164" s="19">
        <f t="shared" si="50"/>
        <v>0.60252981297633146</v>
      </c>
      <c r="G164" s="25"/>
      <c r="H164" s="21"/>
      <c r="I164" s="139"/>
      <c r="J164" s="123"/>
      <c r="K164" s="124"/>
      <c r="L164" s="17">
        <v>64206</v>
      </c>
      <c r="M164" s="17">
        <v>20</v>
      </c>
      <c r="N164" s="19">
        <f t="shared" si="51"/>
        <v>31.149736784724169</v>
      </c>
      <c r="O164" s="19">
        <f t="shared" si="52"/>
        <v>3.4388057952691633</v>
      </c>
      <c r="P164" s="25"/>
      <c r="Q164" s="21"/>
      <c r="R164" s="123"/>
      <c r="S164" s="123"/>
      <c r="T164" s="124"/>
      <c r="U164" s="17">
        <v>29852</v>
      </c>
      <c r="V164" s="17">
        <v>62</v>
      </c>
      <c r="W164" s="19">
        <f t="shared" si="53"/>
        <v>207.69127696636741</v>
      </c>
      <c r="X164" s="19">
        <f t="shared" si="54"/>
        <v>5.3360527317640418</v>
      </c>
      <c r="Y164" s="25"/>
      <c r="Z164" s="21"/>
      <c r="AA164" s="123"/>
      <c r="AB164" s="123"/>
      <c r="AC164" s="124"/>
    </row>
    <row r="165" spans="1:29" ht="15.6" thickTop="1" thickBot="1" x14ac:dyDescent="0.35">
      <c r="A165" s="24"/>
      <c r="B165" s="122">
        <v>2020</v>
      </c>
      <c r="C165" s="17">
        <v>112591</v>
      </c>
      <c r="D165" s="17">
        <v>5</v>
      </c>
      <c r="E165" s="19">
        <f t="shared" si="49"/>
        <v>4.4408522883711843</v>
      </c>
      <c r="F165" s="19">
        <f t="shared" si="50"/>
        <v>1.4908463148631332</v>
      </c>
      <c r="G165" s="25"/>
      <c r="H165" s="21"/>
      <c r="I165" s="139"/>
      <c r="J165" s="123"/>
      <c r="K165" s="124"/>
      <c r="L165" s="17">
        <v>66185</v>
      </c>
      <c r="M165" s="17">
        <v>25</v>
      </c>
      <c r="N165" s="19">
        <f t="shared" si="51"/>
        <v>37.772909269471931</v>
      </c>
      <c r="O165" s="19">
        <f t="shared" si="52"/>
        <v>3.631592159690558</v>
      </c>
      <c r="P165" s="25"/>
      <c r="Q165" s="21"/>
      <c r="R165" s="123"/>
      <c r="S165" s="123"/>
      <c r="T165" s="124"/>
      <c r="U165" s="17">
        <v>30800</v>
      </c>
      <c r="V165" s="17">
        <v>75</v>
      </c>
      <c r="W165" s="19">
        <f t="shared" si="53"/>
        <v>243.50649350649351</v>
      </c>
      <c r="X165" s="19">
        <f t="shared" si="54"/>
        <v>5.4951436095448729</v>
      </c>
      <c r="Y165" s="25"/>
      <c r="Z165" s="21"/>
      <c r="AA165" s="123"/>
      <c r="AB165" s="123"/>
      <c r="AC165" s="124"/>
    </row>
    <row r="166" spans="1:29" ht="15.6" thickTop="1" thickBot="1" x14ac:dyDescent="0.35">
      <c r="A166" s="33"/>
      <c r="B166" s="122">
        <v>2021</v>
      </c>
      <c r="C166" s="17">
        <v>115693</v>
      </c>
      <c r="D166" s="17">
        <v>7</v>
      </c>
      <c r="E166" s="19">
        <f t="shared" si="49"/>
        <v>6.0504957084698292</v>
      </c>
      <c r="F166" s="19">
        <f t="shared" si="50"/>
        <v>1.8001402039705072</v>
      </c>
      <c r="G166" s="34"/>
      <c r="H166" s="21"/>
      <c r="I166" s="140"/>
      <c r="J166" s="126"/>
      <c r="K166" s="127"/>
      <c r="L166" s="17">
        <v>67897</v>
      </c>
      <c r="M166" s="17">
        <v>29</v>
      </c>
      <c r="N166" s="19">
        <f t="shared" si="51"/>
        <v>42.711754569421331</v>
      </c>
      <c r="O166" s="19">
        <f t="shared" si="52"/>
        <v>3.754474165007498</v>
      </c>
      <c r="P166" s="34"/>
      <c r="Q166" s="21"/>
      <c r="R166" s="126"/>
      <c r="S166" s="126"/>
      <c r="T166" s="127"/>
      <c r="U166" s="17">
        <v>31440</v>
      </c>
      <c r="V166" s="17">
        <v>77</v>
      </c>
      <c r="W166" s="19">
        <f t="shared" si="53"/>
        <v>244.910941475827</v>
      </c>
      <c r="X166" s="19">
        <f t="shared" si="54"/>
        <v>5.5008946402807695</v>
      </c>
      <c r="Y166" s="34"/>
      <c r="Z166" s="21"/>
      <c r="AA166" s="126"/>
      <c r="AB166" s="126"/>
      <c r="AC166" s="127"/>
    </row>
    <row r="167" spans="1:29" ht="15.6" thickTop="1" thickBot="1" x14ac:dyDescent="0.35">
      <c r="A167" s="38" t="s">
        <v>300</v>
      </c>
      <c r="B167" s="39">
        <v>2016</v>
      </c>
      <c r="C167" s="39">
        <v>97085</v>
      </c>
      <c r="D167" s="39">
        <v>8</v>
      </c>
      <c r="E167" s="19">
        <f t="shared" si="49"/>
        <v>8.2402018849461811</v>
      </c>
      <c r="F167" s="19">
        <f t="shared" si="50"/>
        <v>2.1090248442215103</v>
      </c>
      <c r="G167" s="20">
        <v>-0.18659999999999999</v>
      </c>
      <c r="H167" s="21">
        <f t="shared" ref="H167" si="73">(EXP(G167)-1)*100</f>
        <v>-17.022441975569468</v>
      </c>
      <c r="I167" s="138">
        <f>(EXP(-0.33) - 1) * 100</f>
        <v>-28.107626656807383</v>
      </c>
      <c r="J167" s="119">
        <f>(EXP(-0.043) - 1) * 100</f>
        <v>-4.2088609932969367</v>
      </c>
      <c r="K167" s="130">
        <v>2.24E-2</v>
      </c>
      <c r="L167" s="39">
        <v>55315</v>
      </c>
      <c r="M167" s="39">
        <v>15</v>
      </c>
      <c r="N167" s="19">
        <f t="shared" si="51"/>
        <v>27.117418421766249</v>
      </c>
      <c r="O167" s="19">
        <f t="shared" si="52"/>
        <v>3.3001762676034274</v>
      </c>
      <c r="P167" s="20">
        <v>5.0900000000000001E-2</v>
      </c>
      <c r="Q167" s="21">
        <f t="shared" ref="Q167" si="74">(EXP(P167)-1)*100</f>
        <v>5.2217666255314654</v>
      </c>
      <c r="R167" s="119">
        <f>(EXP(-0.188) - 1) * 100</f>
        <v>-17.138529276731941</v>
      </c>
      <c r="S167" s="119">
        <f>(EXP(0.29) - 1) * 100</f>
        <v>33.642748802547203</v>
      </c>
      <c r="T167" s="130">
        <v>0.58660000000000001</v>
      </c>
      <c r="U167" s="39">
        <v>26339</v>
      </c>
      <c r="V167" s="39">
        <v>77</v>
      </c>
      <c r="W167" s="19">
        <f t="shared" si="53"/>
        <v>292.34215421997794</v>
      </c>
      <c r="X167" s="19">
        <f t="shared" si="54"/>
        <v>5.677924877319465</v>
      </c>
      <c r="Y167" s="20">
        <v>5.0900000000000001E-2</v>
      </c>
      <c r="Z167" s="21">
        <f t="shared" ref="Z167" si="75">(EXP(Y167)-1)*100</f>
        <v>5.2217666255314654</v>
      </c>
      <c r="AA167" s="119">
        <f>(EXP(0) - 1) * 100</f>
        <v>0</v>
      </c>
      <c r="AB167" s="119">
        <f>(EXP(0.101) - 1) * 100</f>
        <v>10.627664176342355</v>
      </c>
      <c r="AC167" s="130">
        <v>4.87E-2</v>
      </c>
    </row>
    <row r="168" spans="1:29" ht="15.6" thickTop="1" thickBot="1" x14ac:dyDescent="0.35">
      <c r="A168" s="43"/>
      <c r="B168" s="39">
        <v>2017</v>
      </c>
      <c r="C168" s="39">
        <v>99896</v>
      </c>
      <c r="D168" s="39">
        <v>6</v>
      </c>
      <c r="E168" s="19">
        <f t="shared" si="49"/>
        <v>6.0062464963562103</v>
      </c>
      <c r="F168" s="19">
        <f t="shared" si="50"/>
        <v>1.7928000104033024</v>
      </c>
      <c r="G168" s="25"/>
      <c r="H168" s="21"/>
      <c r="I168" s="139"/>
      <c r="J168" s="123"/>
      <c r="K168" s="133"/>
      <c r="L168" s="39">
        <v>57134</v>
      </c>
      <c r="M168" s="39">
        <v>41</v>
      </c>
      <c r="N168" s="19">
        <f t="shared" si="51"/>
        <v>71.761122974060982</v>
      </c>
      <c r="O168" s="19">
        <f t="shared" si="52"/>
        <v>4.2733428666534721</v>
      </c>
      <c r="P168" s="25"/>
      <c r="Q168" s="21"/>
      <c r="R168" s="123"/>
      <c r="S168" s="123"/>
      <c r="T168" s="133"/>
      <c r="U168" s="39">
        <v>27187</v>
      </c>
      <c r="V168" s="39">
        <v>89</v>
      </c>
      <c r="W168" s="19">
        <f t="shared" si="53"/>
        <v>327.36234229595027</v>
      </c>
      <c r="X168" s="19">
        <f t="shared" si="54"/>
        <v>5.791067637845039</v>
      </c>
      <c r="Y168" s="25"/>
      <c r="Z168" s="21"/>
      <c r="AA168" s="123"/>
      <c r="AB168" s="123"/>
      <c r="AC168" s="133"/>
    </row>
    <row r="169" spans="1:29" ht="15.6" thickTop="1" thickBot="1" x14ac:dyDescent="0.35">
      <c r="A169" s="43"/>
      <c r="B169" s="39">
        <v>2018</v>
      </c>
      <c r="C169" s="39">
        <v>102968</v>
      </c>
      <c r="D169" s="39">
        <v>4</v>
      </c>
      <c r="E169" s="19">
        <f t="shared" si="49"/>
        <v>3.8847020433532751</v>
      </c>
      <c r="F169" s="19">
        <f t="shared" si="50"/>
        <v>1.3570462867609054</v>
      </c>
      <c r="G169" s="25"/>
      <c r="H169" s="21"/>
      <c r="I169" s="139"/>
      <c r="J169" s="123"/>
      <c r="K169" s="133"/>
      <c r="L169" s="39">
        <v>59033</v>
      </c>
      <c r="M169" s="39">
        <v>27</v>
      </c>
      <c r="N169" s="19">
        <f t="shared" si="51"/>
        <v>45.737130079785885</v>
      </c>
      <c r="O169" s="19">
        <f t="shared" si="52"/>
        <v>3.8229104424150697</v>
      </c>
      <c r="P169" s="25"/>
      <c r="Q169" s="21"/>
      <c r="R169" s="123"/>
      <c r="S169" s="123"/>
      <c r="T169" s="133"/>
      <c r="U169" s="39">
        <v>28130</v>
      </c>
      <c r="V169" s="39">
        <v>98</v>
      </c>
      <c r="W169" s="19">
        <f t="shared" si="53"/>
        <v>348.3825097760398</v>
      </c>
      <c r="X169" s="19">
        <f t="shared" si="54"/>
        <v>5.8533010421568976</v>
      </c>
      <c r="Y169" s="25"/>
      <c r="Z169" s="21"/>
      <c r="AA169" s="123"/>
      <c r="AB169" s="123"/>
      <c r="AC169" s="133"/>
    </row>
    <row r="170" spans="1:29" ht="15.6" thickTop="1" thickBot="1" x14ac:dyDescent="0.35">
      <c r="A170" s="43"/>
      <c r="B170" s="39">
        <v>2019</v>
      </c>
      <c r="C170" s="39">
        <v>106541</v>
      </c>
      <c r="D170" s="39">
        <v>5</v>
      </c>
      <c r="E170" s="19">
        <f t="shared" si="49"/>
        <v>4.6930289747608898</v>
      </c>
      <c r="F170" s="19">
        <f t="shared" si="50"/>
        <v>1.5460782108313398</v>
      </c>
      <c r="G170" s="25"/>
      <c r="H170" s="21"/>
      <c r="I170" s="139"/>
      <c r="J170" s="123"/>
      <c r="K170" s="133"/>
      <c r="L170" s="39">
        <v>60947</v>
      </c>
      <c r="M170" s="39">
        <v>25</v>
      </c>
      <c r="N170" s="19">
        <f t="shared" si="51"/>
        <v>41.019246230331269</v>
      </c>
      <c r="O170" s="19">
        <f t="shared" si="52"/>
        <v>3.7140413768130713</v>
      </c>
      <c r="P170" s="25"/>
      <c r="Q170" s="21"/>
      <c r="R170" s="123"/>
      <c r="S170" s="123"/>
      <c r="T170" s="133"/>
      <c r="U170" s="39">
        <v>29058</v>
      </c>
      <c r="V170" s="39">
        <v>89</v>
      </c>
      <c r="W170" s="19">
        <f t="shared" si="53"/>
        <v>306.28398375662465</v>
      </c>
      <c r="X170" s="19">
        <f t="shared" si="54"/>
        <v>5.7245127230710837</v>
      </c>
      <c r="Y170" s="25"/>
      <c r="Z170" s="21"/>
      <c r="AA170" s="123"/>
      <c r="AB170" s="123"/>
      <c r="AC170" s="133"/>
    </row>
    <row r="171" spans="1:29" ht="15.6" thickTop="1" thickBot="1" x14ac:dyDescent="0.35">
      <c r="A171" s="43"/>
      <c r="B171" s="39">
        <v>2020</v>
      </c>
      <c r="C171" s="39">
        <v>110656</v>
      </c>
      <c r="D171" s="39">
        <v>3</v>
      </c>
      <c r="E171" s="19">
        <f t="shared" si="49"/>
        <v>2.7111046847888951</v>
      </c>
      <c r="F171" s="19">
        <f t="shared" si="50"/>
        <v>0.99735618459537567</v>
      </c>
      <c r="G171" s="25"/>
      <c r="H171" s="21"/>
      <c r="I171" s="139"/>
      <c r="J171" s="123"/>
      <c r="K171" s="133"/>
      <c r="L171" s="39">
        <v>62678</v>
      </c>
      <c r="M171" s="39">
        <v>24</v>
      </c>
      <c r="N171" s="19">
        <f t="shared" si="51"/>
        <v>38.290947381856476</v>
      </c>
      <c r="O171" s="19">
        <f t="shared" si="52"/>
        <v>3.6452135074619498</v>
      </c>
      <c r="P171" s="25"/>
      <c r="Q171" s="21"/>
      <c r="R171" s="123"/>
      <c r="S171" s="123"/>
      <c r="T171" s="133"/>
      <c r="U171" s="39">
        <v>29779</v>
      </c>
      <c r="V171" s="39">
        <v>110</v>
      </c>
      <c r="W171" s="19">
        <f t="shared" si="53"/>
        <v>369.38782363410456</v>
      </c>
      <c r="X171" s="19">
        <f t="shared" si="54"/>
        <v>5.9118471046720646</v>
      </c>
      <c r="Y171" s="25"/>
      <c r="Z171" s="21"/>
      <c r="AA171" s="123"/>
      <c r="AB171" s="123"/>
      <c r="AC171" s="133"/>
    </row>
    <row r="172" spans="1:29" ht="15.6" thickTop="1" thickBot="1" x14ac:dyDescent="0.35">
      <c r="A172" s="47"/>
      <c r="B172" s="39">
        <v>2021</v>
      </c>
      <c r="C172" s="39">
        <v>115289</v>
      </c>
      <c r="D172" s="39">
        <v>4</v>
      </c>
      <c r="E172" s="19">
        <f t="shared" si="49"/>
        <v>3.4695417602720124</v>
      </c>
      <c r="F172" s="19">
        <f t="shared" si="50"/>
        <v>1.2440225276799028</v>
      </c>
      <c r="G172" s="34"/>
      <c r="H172" s="21"/>
      <c r="I172" s="140"/>
      <c r="J172" s="126"/>
      <c r="K172" s="136"/>
      <c r="L172" s="39">
        <v>64202</v>
      </c>
      <c r="M172" s="39">
        <v>37</v>
      </c>
      <c r="N172" s="19">
        <f t="shared" si="51"/>
        <v>57.630603407993526</v>
      </c>
      <c r="O172" s="19">
        <f t="shared" si="52"/>
        <v>4.0540537357736586</v>
      </c>
      <c r="P172" s="34"/>
      <c r="Q172" s="21"/>
      <c r="R172" s="126"/>
      <c r="S172" s="126"/>
      <c r="T172" s="136"/>
      <c r="U172" s="39">
        <v>30247</v>
      </c>
      <c r="V172" s="39">
        <v>121</v>
      </c>
      <c r="W172" s="19">
        <f t="shared" si="53"/>
        <v>400.03967335603528</v>
      </c>
      <c r="X172" s="19">
        <f t="shared" si="54"/>
        <v>5.9915637255797227</v>
      </c>
      <c r="Y172" s="34"/>
      <c r="Z172" s="21"/>
      <c r="AA172" s="126"/>
      <c r="AB172" s="126"/>
      <c r="AC172" s="136"/>
    </row>
    <row r="173" spans="1:29" ht="15.6" thickTop="1" thickBot="1" x14ac:dyDescent="0.35">
      <c r="A173" s="16" t="s">
        <v>304</v>
      </c>
      <c r="B173" s="17">
        <v>2016</v>
      </c>
      <c r="C173" s="17">
        <v>59313</v>
      </c>
      <c r="D173" s="17">
        <v>1</v>
      </c>
      <c r="E173" s="19">
        <f t="shared" si="49"/>
        <v>1.6859710350176185</v>
      </c>
      <c r="F173" s="19">
        <f t="shared" si="50"/>
        <v>0.52234167972723822</v>
      </c>
      <c r="G173" s="20">
        <v>0.1789</v>
      </c>
      <c r="H173" s="21">
        <f t="shared" ref="H173" si="76">(EXP(G173)-1)*100</f>
        <v>19.590114807337123</v>
      </c>
      <c r="I173" s="138">
        <f>(EXP(-0.321) - 1) * 100</f>
        <v>-27.457674900985886</v>
      </c>
      <c r="J173" s="119">
        <f>(EXP(0.679) - 1) * 100</f>
        <v>97.190484110818588</v>
      </c>
      <c r="K173" s="120">
        <v>0.37659999999999999</v>
      </c>
      <c r="L173" s="17">
        <v>30072</v>
      </c>
      <c r="M173" s="17">
        <v>15</v>
      </c>
      <c r="N173" s="19">
        <f t="shared" si="51"/>
        <v>49.880287310454904</v>
      </c>
      <c r="O173" s="19">
        <f t="shared" si="52"/>
        <v>3.9096258808284245</v>
      </c>
      <c r="P173" s="20">
        <v>-3.1099999999999999E-2</v>
      </c>
      <c r="Q173" s="21">
        <f t="shared" ref="Q173" si="77">(EXP(P173)-1)*100</f>
        <v>-3.0621369634065365</v>
      </c>
      <c r="R173" s="119">
        <f>(EXP(-0.126) - 1) * 100</f>
        <v>-11.838515321658393</v>
      </c>
      <c r="S173" s="119">
        <f>(EXP(0.064) - 1) * 100</f>
        <v>6.6092398761505189</v>
      </c>
      <c r="T173" s="120">
        <v>0.41460000000000002</v>
      </c>
      <c r="U173" s="17">
        <v>12662</v>
      </c>
      <c r="V173" s="17">
        <v>28</v>
      </c>
      <c r="W173" s="19">
        <f t="shared" si="53"/>
        <v>221.13410203759278</v>
      </c>
      <c r="X173" s="19">
        <f t="shared" si="54"/>
        <v>5.3987693140413606</v>
      </c>
      <c r="Y173" s="20">
        <v>0.108</v>
      </c>
      <c r="Z173" s="21">
        <f t="shared" ref="Z173" si="78">(EXP(Y173)-1)*100</f>
        <v>11.404774538646766</v>
      </c>
      <c r="AA173" s="119">
        <f>(EXP(0.022) - 1) * 100</f>
        <v>2.2243784470438177</v>
      </c>
      <c r="AB173" s="119">
        <f>(EXP(0.194) - 1) * 100</f>
        <v>21.409628295623317</v>
      </c>
      <c r="AC173" s="120">
        <v>2.52E-2</v>
      </c>
    </row>
    <row r="174" spans="1:29" ht="15.6" thickTop="1" thickBot="1" x14ac:dyDescent="0.35">
      <c r="A174" s="24"/>
      <c r="B174" s="122">
        <v>2017</v>
      </c>
      <c r="C174" s="17">
        <v>61491</v>
      </c>
      <c r="D174" s="17">
        <v>4</v>
      </c>
      <c r="E174" s="19">
        <f t="shared" si="49"/>
        <v>6.5050169943568976</v>
      </c>
      <c r="F174" s="19">
        <f t="shared" si="50"/>
        <v>1.8725737244678811</v>
      </c>
      <c r="G174" s="25"/>
      <c r="H174" s="21"/>
      <c r="I174" s="139"/>
      <c r="J174" s="123"/>
      <c r="K174" s="124"/>
      <c r="L174" s="17">
        <v>31411</v>
      </c>
      <c r="M174" s="17">
        <v>12</v>
      </c>
      <c r="N174" s="19">
        <f t="shared" si="51"/>
        <v>38.20317723090637</v>
      </c>
      <c r="O174" s="19">
        <f t="shared" si="52"/>
        <v>3.6429186857377349</v>
      </c>
      <c r="P174" s="25"/>
      <c r="Q174" s="21"/>
      <c r="R174" s="123"/>
      <c r="S174" s="123"/>
      <c r="T174" s="124"/>
      <c r="U174" s="17">
        <v>13031</v>
      </c>
      <c r="V174" s="17">
        <v>36</v>
      </c>
      <c r="W174" s="19">
        <f t="shared" si="53"/>
        <v>276.2642928401504</v>
      </c>
      <c r="X174" s="19">
        <f t="shared" si="54"/>
        <v>5.6213579902814326</v>
      </c>
      <c r="Y174" s="25"/>
      <c r="Z174" s="21"/>
      <c r="AA174" s="123"/>
      <c r="AB174" s="123"/>
      <c r="AC174" s="124"/>
    </row>
    <row r="175" spans="1:29" ht="15.6" thickTop="1" thickBot="1" x14ac:dyDescent="0.35">
      <c r="A175" s="24"/>
      <c r="B175" s="122">
        <v>2018</v>
      </c>
      <c r="C175" s="17">
        <v>63754</v>
      </c>
      <c r="D175" s="17">
        <v>8</v>
      </c>
      <c r="E175" s="19">
        <f t="shared" si="49"/>
        <v>12.548232267779277</v>
      </c>
      <c r="F175" s="19">
        <f t="shared" si="50"/>
        <v>2.5295798004997438</v>
      </c>
      <c r="G175" s="25"/>
      <c r="H175" s="21"/>
      <c r="I175" s="139"/>
      <c r="J175" s="123"/>
      <c r="K175" s="124"/>
      <c r="L175" s="17">
        <v>32849</v>
      </c>
      <c r="M175" s="17">
        <v>16</v>
      </c>
      <c r="N175" s="19">
        <f t="shared" si="51"/>
        <v>48.707723218362808</v>
      </c>
      <c r="O175" s="19">
        <f t="shared" si="52"/>
        <v>3.8858376051609063</v>
      </c>
      <c r="P175" s="25"/>
      <c r="Q175" s="21"/>
      <c r="R175" s="123"/>
      <c r="S175" s="123"/>
      <c r="T175" s="124"/>
      <c r="U175" s="17">
        <v>13463</v>
      </c>
      <c r="V175" s="17">
        <v>31</v>
      </c>
      <c r="W175" s="19">
        <f t="shared" si="53"/>
        <v>230.26071455099162</v>
      </c>
      <c r="X175" s="19">
        <f t="shared" si="54"/>
        <v>5.4392122084761398</v>
      </c>
      <c r="Y175" s="25"/>
      <c r="Z175" s="21"/>
      <c r="AA175" s="123"/>
      <c r="AB175" s="123"/>
      <c r="AC175" s="124"/>
    </row>
    <row r="176" spans="1:29" ht="15.6" thickTop="1" thickBot="1" x14ac:dyDescent="0.35">
      <c r="A176" s="24"/>
      <c r="B176" s="122">
        <v>2019</v>
      </c>
      <c r="C176" s="17">
        <v>66155</v>
      </c>
      <c r="D176" s="17">
        <v>2</v>
      </c>
      <c r="E176" s="19">
        <f t="shared" si="49"/>
        <v>3.0232030836671453</v>
      </c>
      <c r="F176" s="19">
        <f t="shared" si="50"/>
        <v>1.1063168930536624</v>
      </c>
      <c r="G176" s="25"/>
      <c r="H176" s="21"/>
      <c r="I176" s="139"/>
      <c r="J176" s="123"/>
      <c r="K176" s="124"/>
      <c r="L176" s="17">
        <v>34361</v>
      </c>
      <c r="M176" s="17">
        <v>12</v>
      </c>
      <c r="N176" s="19">
        <f t="shared" si="51"/>
        <v>34.923314222519714</v>
      </c>
      <c r="O176" s="19">
        <f t="shared" si="52"/>
        <v>3.5531546354746912</v>
      </c>
      <c r="P176" s="25"/>
      <c r="Q176" s="21"/>
      <c r="R176" s="123"/>
      <c r="S176" s="123"/>
      <c r="T176" s="124"/>
      <c r="U176" s="17">
        <v>13925</v>
      </c>
      <c r="V176" s="17">
        <v>38</v>
      </c>
      <c r="W176" s="19">
        <f t="shared" si="53"/>
        <v>272.89048473967688</v>
      </c>
      <c r="X176" s="19">
        <f t="shared" si="54"/>
        <v>5.6090705599011299</v>
      </c>
      <c r="Y176" s="25"/>
      <c r="Z176" s="21"/>
      <c r="AA176" s="123"/>
      <c r="AB176" s="123"/>
      <c r="AC176" s="124"/>
    </row>
    <row r="177" spans="1:29" ht="15.6" thickTop="1" thickBot="1" x14ac:dyDescent="0.35">
      <c r="A177" s="24"/>
      <c r="B177" s="122">
        <v>2020</v>
      </c>
      <c r="C177" s="17">
        <v>68562</v>
      </c>
      <c r="D177" s="17">
        <v>3</v>
      </c>
      <c r="E177" s="19">
        <f t="shared" si="49"/>
        <v>4.3756016452262187</v>
      </c>
      <c r="F177" s="19">
        <f t="shared" si="50"/>
        <v>1.4760440292635695</v>
      </c>
      <c r="G177" s="25"/>
      <c r="H177" s="21"/>
      <c r="I177" s="139"/>
      <c r="J177" s="123"/>
      <c r="K177" s="124"/>
      <c r="L177" s="17">
        <v>35768</v>
      </c>
      <c r="M177" s="17">
        <v>15</v>
      </c>
      <c r="N177" s="19">
        <f t="shared" si="51"/>
        <v>41.936926861999552</v>
      </c>
      <c r="O177" s="19">
        <f t="shared" si="52"/>
        <v>3.736166748158622</v>
      </c>
      <c r="P177" s="25"/>
      <c r="Q177" s="21"/>
      <c r="R177" s="123"/>
      <c r="S177" s="123"/>
      <c r="T177" s="124"/>
      <c r="U177" s="17">
        <v>14277</v>
      </c>
      <c r="V177" s="17">
        <v>54</v>
      </c>
      <c r="W177" s="19">
        <f t="shared" si="53"/>
        <v>378.23072073965119</v>
      </c>
      <c r="X177" s="19">
        <f t="shared" si="54"/>
        <v>5.9355043817452824</v>
      </c>
      <c r="Y177" s="25"/>
      <c r="Z177" s="21"/>
      <c r="AA177" s="123"/>
      <c r="AB177" s="123"/>
      <c r="AC177" s="124"/>
    </row>
    <row r="178" spans="1:29" ht="15.6" thickTop="1" thickBot="1" x14ac:dyDescent="0.35">
      <c r="A178" s="33"/>
      <c r="B178" s="122">
        <v>2021</v>
      </c>
      <c r="C178" s="17">
        <v>70936</v>
      </c>
      <c r="D178" s="17">
        <v>7</v>
      </c>
      <c r="E178" s="19">
        <f t="shared" si="49"/>
        <v>9.8680500733055148</v>
      </c>
      <c r="F178" s="19">
        <f t="shared" si="50"/>
        <v>2.2893022729656987</v>
      </c>
      <c r="G178" s="34"/>
      <c r="H178" s="21"/>
      <c r="I178" s="140"/>
      <c r="J178" s="126"/>
      <c r="K178" s="127"/>
      <c r="L178" s="17">
        <v>37007</v>
      </c>
      <c r="M178" s="17">
        <v>15</v>
      </c>
      <c r="N178" s="19">
        <f t="shared" si="51"/>
        <v>40.532872159321208</v>
      </c>
      <c r="O178" s="19">
        <f t="shared" si="52"/>
        <v>3.7021133031509055</v>
      </c>
      <c r="P178" s="34"/>
      <c r="Q178" s="21"/>
      <c r="R178" s="126"/>
      <c r="S178" s="126"/>
      <c r="T178" s="127"/>
      <c r="U178" s="17">
        <v>14554</v>
      </c>
      <c r="V178" s="17">
        <v>55</v>
      </c>
      <c r="W178" s="19">
        <f t="shared" si="53"/>
        <v>377.90298199807614</v>
      </c>
      <c r="X178" s="19">
        <f t="shared" si="54"/>
        <v>5.9346375012956676</v>
      </c>
      <c r="Y178" s="34"/>
      <c r="Z178" s="21"/>
      <c r="AA178" s="126"/>
      <c r="AB178" s="126"/>
      <c r="AC178" s="127"/>
    </row>
    <row r="180" spans="1:29" x14ac:dyDescent="0.3">
      <c r="G180" s="15"/>
      <c r="P180" s="15"/>
      <c r="Y180" s="15"/>
    </row>
  </sheetData>
  <mergeCells count="473">
    <mergeCell ref="AA173:AA178"/>
    <mergeCell ref="AB173:AB178"/>
    <mergeCell ref="AC173:AC178"/>
    <mergeCell ref="Q173:Q178"/>
    <mergeCell ref="R173:R178"/>
    <mergeCell ref="S173:S178"/>
    <mergeCell ref="T173:T178"/>
    <mergeCell ref="Y173:Y178"/>
    <mergeCell ref="Z173:Z178"/>
    <mergeCell ref="AA167:AA172"/>
    <mergeCell ref="AB167:AB172"/>
    <mergeCell ref="AC167:AC172"/>
    <mergeCell ref="A173:A178"/>
    <mergeCell ref="G173:G178"/>
    <mergeCell ref="H173:H178"/>
    <mergeCell ref="I173:I178"/>
    <mergeCell ref="J173:J178"/>
    <mergeCell ref="K173:K178"/>
    <mergeCell ref="P173:P178"/>
    <mergeCell ref="Q167:Q172"/>
    <mergeCell ref="R167:R172"/>
    <mergeCell ref="S167:S172"/>
    <mergeCell ref="T167:T172"/>
    <mergeCell ref="Y167:Y172"/>
    <mergeCell ref="Z167:Z172"/>
    <mergeCell ref="AA161:AA166"/>
    <mergeCell ref="AB161:AB166"/>
    <mergeCell ref="AC161:AC166"/>
    <mergeCell ref="A167:A172"/>
    <mergeCell ref="G167:G172"/>
    <mergeCell ref="H167:H172"/>
    <mergeCell ref="I167:I172"/>
    <mergeCell ref="J167:J172"/>
    <mergeCell ref="K167:K172"/>
    <mergeCell ref="P167:P172"/>
    <mergeCell ref="Q161:Q166"/>
    <mergeCell ref="R161:R166"/>
    <mergeCell ref="S161:S166"/>
    <mergeCell ref="T161:T166"/>
    <mergeCell ref="Y161:Y166"/>
    <mergeCell ref="Z161:Z166"/>
    <mergeCell ref="AA155:AA160"/>
    <mergeCell ref="AB155:AB160"/>
    <mergeCell ref="AC155:AC160"/>
    <mergeCell ref="A161:A166"/>
    <mergeCell ref="G161:G166"/>
    <mergeCell ref="H161:H166"/>
    <mergeCell ref="I161:I166"/>
    <mergeCell ref="J161:J166"/>
    <mergeCell ref="K161:K166"/>
    <mergeCell ref="P161:P166"/>
    <mergeCell ref="Q155:Q160"/>
    <mergeCell ref="R155:R160"/>
    <mergeCell ref="S155:S160"/>
    <mergeCell ref="T155:T160"/>
    <mergeCell ref="Y155:Y160"/>
    <mergeCell ref="Z155:Z160"/>
    <mergeCell ref="AA149:AA154"/>
    <mergeCell ref="AB149:AB154"/>
    <mergeCell ref="AC149:AC154"/>
    <mergeCell ref="A155:A160"/>
    <mergeCell ref="G155:G160"/>
    <mergeCell ref="H155:H160"/>
    <mergeCell ref="I155:I160"/>
    <mergeCell ref="J155:J160"/>
    <mergeCell ref="K155:K160"/>
    <mergeCell ref="P155:P160"/>
    <mergeCell ref="Q149:Q154"/>
    <mergeCell ref="R149:R154"/>
    <mergeCell ref="S149:S154"/>
    <mergeCell ref="T149:T154"/>
    <mergeCell ref="Y149:Y154"/>
    <mergeCell ref="Z149:Z154"/>
    <mergeCell ref="AA143:AA148"/>
    <mergeCell ref="AB143:AB148"/>
    <mergeCell ref="AC143:AC148"/>
    <mergeCell ref="A149:A154"/>
    <mergeCell ref="G149:G154"/>
    <mergeCell ref="H149:H154"/>
    <mergeCell ref="I149:I154"/>
    <mergeCell ref="J149:J154"/>
    <mergeCell ref="K149:K154"/>
    <mergeCell ref="P149:P154"/>
    <mergeCell ref="Q143:Q148"/>
    <mergeCell ref="R143:R148"/>
    <mergeCell ref="S143:S148"/>
    <mergeCell ref="T143:T148"/>
    <mergeCell ref="Y143:Y148"/>
    <mergeCell ref="Z143:Z148"/>
    <mergeCell ref="AA137:AA142"/>
    <mergeCell ref="AB137:AB142"/>
    <mergeCell ref="AC137:AC142"/>
    <mergeCell ref="A143:A148"/>
    <mergeCell ref="G143:G148"/>
    <mergeCell ref="H143:H148"/>
    <mergeCell ref="I143:I148"/>
    <mergeCell ref="J143:J148"/>
    <mergeCell ref="K143:K148"/>
    <mergeCell ref="P143:P148"/>
    <mergeCell ref="Q137:Q142"/>
    <mergeCell ref="R137:R142"/>
    <mergeCell ref="S137:S142"/>
    <mergeCell ref="T137:T142"/>
    <mergeCell ref="Y137:Y142"/>
    <mergeCell ref="Z137:Z142"/>
    <mergeCell ref="AA131:AA136"/>
    <mergeCell ref="AB131:AB136"/>
    <mergeCell ref="AC131:AC136"/>
    <mergeCell ref="A137:A142"/>
    <mergeCell ref="G137:G142"/>
    <mergeCell ref="H137:H142"/>
    <mergeCell ref="I137:I142"/>
    <mergeCell ref="J137:J142"/>
    <mergeCell ref="K137:K142"/>
    <mergeCell ref="P137:P142"/>
    <mergeCell ref="Q131:Q136"/>
    <mergeCell ref="R131:R136"/>
    <mergeCell ref="S131:S136"/>
    <mergeCell ref="T131:T136"/>
    <mergeCell ref="Y131:Y136"/>
    <mergeCell ref="Z131:Z136"/>
    <mergeCell ref="AA125:AA130"/>
    <mergeCell ref="AB125:AB130"/>
    <mergeCell ref="AC125:AC130"/>
    <mergeCell ref="A131:A136"/>
    <mergeCell ref="G131:G136"/>
    <mergeCell ref="H131:H136"/>
    <mergeCell ref="I131:I136"/>
    <mergeCell ref="J131:J136"/>
    <mergeCell ref="K131:K136"/>
    <mergeCell ref="P131:P136"/>
    <mergeCell ref="Q125:Q130"/>
    <mergeCell ref="R125:R130"/>
    <mergeCell ref="S125:S130"/>
    <mergeCell ref="T125:T130"/>
    <mergeCell ref="Y125:Y130"/>
    <mergeCell ref="Z125:Z130"/>
    <mergeCell ref="DV123:DY123"/>
    <mergeCell ref="DZ123:EC123"/>
    <mergeCell ref="ED123:EG123"/>
    <mergeCell ref="A125:A130"/>
    <mergeCell ref="G125:G130"/>
    <mergeCell ref="H125:H130"/>
    <mergeCell ref="I125:I130"/>
    <mergeCell ref="J125:J130"/>
    <mergeCell ref="K125:K130"/>
    <mergeCell ref="P125:P130"/>
    <mergeCell ref="CX123:DA123"/>
    <mergeCell ref="DB123:DE123"/>
    <mergeCell ref="DF123:DI123"/>
    <mergeCell ref="DJ123:DM123"/>
    <mergeCell ref="DN123:DQ123"/>
    <mergeCell ref="DR123:DU123"/>
    <mergeCell ref="BZ123:CC123"/>
    <mergeCell ref="CD123:CG123"/>
    <mergeCell ref="CH123:CK123"/>
    <mergeCell ref="CL123:CO123"/>
    <mergeCell ref="CP123:CS123"/>
    <mergeCell ref="CT123:CW123"/>
    <mergeCell ref="BB123:BE123"/>
    <mergeCell ref="BF123:BI123"/>
    <mergeCell ref="BJ123:BM123"/>
    <mergeCell ref="BN123:BQ123"/>
    <mergeCell ref="BR123:BU123"/>
    <mergeCell ref="BV123:BY123"/>
    <mergeCell ref="AD123:AG123"/>
    <mergeCell ref="AH123:AK123"/>
    <mergeCell ref="AL123:AO123"/>
    <mergeCell ref="AP123:AS123"/>
    <mergeCell ref="AT123:AW123"/>
    <mergeCell ref="AX123:BA123"/>
    <mergeCell ref="Z112:Z117"/>
    <mergeCell ref="AA112:AA117"/>
    <mergeCell ref="AB112:AB117"/>
    <mergeCell ref="AC112:AC117"/>
    <mergeCell ref="C122:AC122"/>
    <mergeCell ref="A123:B123"/>
    <mergeCell ref="C123:K123"/>
    <mergeCell ref="L123:T123"/>
    <mergeCell ref="U123:AC123"/>
    <mergeCell ref="P112:P117"/>
    <mergeCell ref="Q112:Q117"/>
    <mergeCell ref="R112:R117"/>
    <mergeCell ref="S112:S117"/>
    <mergeCell ref="T112:T117"/>
    <mergeCell ref="Y112:Y117"/>
    <mergeCell ref="Z106:Z111"/>
    <mergeCell ref="AA106:AA111"/>
    <mergeCell ref="AB106:AB111"/>
    <mergeCell ref="AC106:AC111"/>
    <mergeCell ref="A112:A117"/>
    <mergeCell ref="G112:G117"/>
    <mergeCell ref="H112:H117"/>
    <mergeCell ref="I112:I117"/>
    <mergeCell ref="J112:J117"/>
    <mergeCell ref="K112:K117"/>
    <mergeCell ref="P106:P111"/>
    <mergeCell ref="Q106:Q111"/>
    <mergeCell ref="R106:R111"/>
    <mergeCell ref="S106:S111"/>
    <mergeCell ref="T106:T111"/>
    <mergeCell ref="Y106:Y111"/>
    <mergeCell ref="Z100:Z105"/>
    <mergeCell ref="AA100:AA105"/>
    <mergeCell ref="AB100:AB105"/>
    <mergeCell ref="AC100:AC105"/>
    <mergeCell ref="A106:A111"/>
    <mergeCell ref="G106:G111"/>
    <mergeCell ref="H106:H111"/>
    <mergeCell ref="I106:I111"/>
    <mergeCell ref="J106:J111"/>
    <mergeCell ref="K106:K111"/>
    <mergeCell ref="P100:P105"/>
    <mergeCell ref="Q100:Q105"/>
    <mergeCell ref="R100:R105"/>
    <mergeCell ref="S100:S105"/>
    <mergeCell ref="T100:T105"/>
    <mergeCell ref="Y100:Y105"/>
    <mergeCell ref="Z94:Z99"/>
    <mergeCell ref="AA94:AA99"/>
    <mergeCell ref="AB94:AB99"/>
    <mergeCell ref="AC94:AC99"/>
    <mergeCell ref="A100:A105"/>
    <mergeCell ref="G100:G105"/>
    <mergeCell ref="H100:H105"/>
    <mergeCell ref="I100:I105"/>
    <mergeCell ref="J100:J105"/>
    <mergeCell ref="K100:K105"/>
    <mergeCell ref="P94:P99"/>
    <mergeCell ref="Q94:Q99"/>
    <mergeCell ref="R94:R99"/>
    <mergeCell ref="S94:S99"/>
    <mergeCell ref="T94:T99"/>
    <mergeCell ref="Y94:Y99"/>
    <mergeCell ref="Z88:Z93"/>
    <mergeCell ref="AA88:AA93"/>
    <mergeCell ref="AB88:AB93"/>
    <mergeCell ref="AC88:AC93"/>
    <mergeCell ref="A94:A99"/>
    <mergeCell ref="G94:G99"/>
    <mergeCell ref="H94:H99"/>
    <mergeCell ref="I94:I99"/>
    <mergeCell ref="J94:J99"/>
    <mergeCell ref="K94:K99"/>
    <mergeCell ref="P88:P93"/>
    <mergeCell ref="Q88:Q93"/>
    <mergeCell ref="R88:R93"/>
    <mergeCell ref="S88:S93"/>
    <mergeCell ref="T88:T93"/>
    <mergeCell ref="Y88:Y93"/>
    <mergeCell ref="Z82:Z87"/>
    <mergeCell ref="AA82:AA87"/>
    <mergeCell ref="AB82:AB87"/>
    <mergeCell ref="AC82:AC87"/>
    <mergeCell ref="A88:A93"/>
    <mergeCell ref="G88:G93"/>
    <mergeCell ref="H88:H93"/>
    <mergeCell ref="I88:I93"/>
    <mergeCell ref="J88:J93"/>
    <mergeCell ref="K88:K93"/>
    <mergeCell ref="P82:P87"/>
    <mergeCell ref="Q82:Q87"/>
    <mergeCell ref="R82:R87"/>
    <mergeCell ref="S82:S87"/>
    <mergeCell ref="T82:T87"/>
    <mergeCell ref="Y82:Y87"/>
    <mergeCell ref="Z76:Z81"/>
    <mergeCell ref="AA76:AA81"/>
    <mergeCell ref="AB76:AB81"/>
    <mergeCell ref="AC76:AC81"/>
    <mergeCell ref="A82:A87"/>
    <mergeCell ref="G82:G87"/>
    <mergeCell ref="H82:H87"/>
    <mergeCell ref="I82:I87"/>
    <mergeCell ref="J82:J87"/>
    <mergeCell ref="K82:K87"/>
    <mergeCell ref="P76:P81"/>
    <mergeCell ref="Q76:Q81"/>
    <mergeCell ref="R76:R81"/>
    <mergeCell ref="S76:S81"/>
    <mergeCell ref="T76:T81"/>
    <mergeCell ref="Y76:Y81"/>
    <mergeCell ref="Z70:Z75"/>
    <mergeCell ref="AA70:AA75"/>
    <mergeCell ref="AB70:AB75"/>
    <mergeCell ref="AC70:AC75"/>
    <mergeCell ref="A76:A81"/>
    <mergeCell ref="G76:G81"/>
    <mergeCell ref="H76:H81"/>
    <mergeCell ref="I76:I81"/>
    <mergeCell ref="J76:J81"/>
    <mergeCell ref="K76:K81"/>
    <mergeCell ref="P70:P75"/>
    <mergeCell ref="Q70:Q75"/>
    <mergeCell ref="R70:R75"/>
    <mergeCell ref="S70:S75"/>
    <mergeCell ref="T70:T75"/>
    <mergeCell ref="Y70:Y75"/>
    <mergeCell ref="Z64:Z69"/>
    <mergeCell ref="AA64:AA69"/>
    <mergeCell ref="AB64:AB69"/>
    <mergeCell ref="AC64:AC69"/>
    <mergeCell ref="A70:A75"/>
    <mergeCell ref="G70:G75"/>
    <mergeCell ref="H70:H75"/>
    <mergeCell ref="I70:I75"/>
    <mergeCell ref="J70:J75"/>
    <mergeCell ref="K70:K75"/>
    <mergeCell ref="P64:P69"/>
    <mergeCell ref="Q64:Q69"/>
    <mergeCell ref="R64:R69"/>
    <mergeCell ref="S64:S69"/>
    <mergeCell ref="T64:T69"/>
    <mergeCell ref="Y64:Y69"/>
    <mergeCell ref="A64:A69"/>
    <mergeCell ref="G64:G69"/>
    <mergeCell ref="H64:H69"/>
    <mergeCell ref="I64:I69"/>
    <mergeCell ref="J64:J69"/>
    <mergeCell ref="K64:K69"/>
    <mergeCell ref="DN61:DQ61"/>
    <mergeCell ref="DR61:DU61"/>
    <mergeCell ref="DV61:DY61"/>
    <mergeCell ref="DZ61:EC61"/>
    <mergeCell ref="ED61:EG61"/>
    <mergeCell ref="A62:B62"/>
    <mergeCell ref="C62:K62"/>
    <mergeCell ref="L62:T62"/>
    <mergeCell ref="U62:AC62"/>
    <mergeCell ref="CP61:CS61"/>
    <mergeCell ref="CT61:CW61"/>
    <mergeCell ref="CX61:DA61"/>
    <mergeCell ref="DB61:DE61"/>
    <mergeCell ref="DF61:DI61"/>
    <mergeCell ref="DJ61:DM61"/>
    <mergeCell ref="BR61:BU61"/>
    <mergeCell ref="BV61:BY61"/>
    <mergeCell ref="BZ61:CC61"/>
    <mergeCell ref="CD61:CG61"/>
    <mergeCell ref="CH61:CK61"/>
    <mergeCell ref="CL61:CO61"/>
    <mergeCell ref="AT61:AW61"/>
    <mergeCell ref="AX61:BA61"/>
    <mergeCell ref="BB61:BE61"/>
    <mergeCell ref="BF61:BI61"/>
    <mergeCell ref="BJ61:BM61"/>
    <mergeCell ref="BN61:BQ61"/>
    <mergeCell ref="W51:W56"/>
    <mergeCell ref="C61:AC61"/>
    <mergeCell ref="AD61:AG61"/>
    <mergeCell ref="AH61:AK61"/>
    <mergeCell ref="AL61:AO61"/>
    <mergeCell ref="AP61:AS61"/>
    <mergeCell ref="W45:W50"/>
    <mergeCell ref="A51:A56"/>
    <mergeCell ref="G51:G56"/>
    <mergeCell ref="H51:H56"/>
    <mergeCell ref="I51:I56"/>
    <mergeCell ref="N51:N56"/>
    <mergeCell ref="O51:O56"/>
    <mergeCell ref="P51:P56"/>
    <mergeCell ref="U51:U56"/>
    <mergeCell ref="V51:V56"/>
    <mergeCell ref="W39:W44"/>
    <mergeCell ref="A45:A50"/>
    <mergeCell ref="G45:G50"/>
    <mergeCell ref="H45:H50"/>
    <mergeCell ref="I45:I50"/>
    <mergeCell ref="N45:N50"/>
    <mergeCell ref="O45:O50"/>
    <mergeCell ref="P45:P50"/>
    <mergeCell ref="U45:U50"/>
    <mergeCell ref="V45:V50"/>
    <mergeCell ref="W33:W38"/>
    <mergeCell ref="A39:A44"/>
    <mergeCell ref="G39:G44"/>
    <mergeCell ref="H39:H44"/>
    <mergeCell ref="I39:I44"/>
    <mergeCell ref="N39:N44"/>
    <mergeCell ref="O39:O44"/>
    <mergeCell ref="P39:P44"/>
    <mergeCell ref="U39:U44"/>
    <mergeCell ref="V39:V44"/>
    <mergeCell ref="W27:W32"/>
    <mergeCell ref="A33:A38"/>
    <mergeCell ref="G33:G38"/>
    <mergeCell ref="H33:H38"/>
    <mergeCell ref="I33:I38"/>
    <mergeCell ref="N33:N38"/>
    <mergeCell ref="O33:O38"/>
    <mergeCell ref="P33:P38"/>
    <mergeCell ref="U33:U38"/>
    <mergeCell ref="V33:V38"/>
    <mergeCell ref="W21:W26"/>
    <mergeCell ref="A27:A32"/>
    <mergeCell ref="G27:G32"/>
    <mergeCell ref="H27:H32"/>
    <mergeCell ref="I27:I32"/>
    <mergeCell ref="N27:N32"/>
    <mergeCell ref="O27:O32"/>
    <mergeCell ref="P27:P32"/>
    <mergeCell ref="U27:U32"/>
    <mergeCell ref="V27:V32"/>
    <mergeCell ref="W15:W20"/>
    <mergeCell ref="A21:A26"/>
    <mergeCell ref="G21:G26"/>
    <mergeCell ref="H21:H26"/>
    <mergeCell ref="I21:I26"/>
    <mergeCell ref="N21:N26"/>
    <mergeCell ref="O21:O26"/>
    <mergeCell ref="P21:P26"/>
    <mergeCell ref="U21:U26"/>
    <mergeCell ref="V21:V26"/>
    <mergeCell ref="W9:W14"/>
    <mergeCell ref="A15:A20"/>
    <mergeCell ref="G15:G20"/>
    <mergeCell ref="H15:H20"/>
    <mergeCell ref="I15:I20"/>
    <mergeCell ref="N15:N20"/>
    <mergeCell ref="O15:O20"/>
    <mergeCell ref="P15:P20"/>
    <mergeCell ref="U15:U20"/>
    <mergeCell ref="V15:V20"/>
    <mergeCell ref="W3:W8"/>
    <mergeCell ref="A9:A14"/>
    <mergeCell ref="G9:G14"/>
    <mergeCell ref="H9:H14"/>
    <mergeCell ref="I9:I14"/>
    <mergeCell ref="N9:N14"/>
    <mergeCell ref="O9:O14"/>
    <mergeCell ref="P9:P14"/>
    <mergeCell ref="U9:U14"/>
    <mergeCell ref="V9:V14"/>
    <mergeCell ref="ED1:EG1"/>
    <mergeCell ref="A3:A8"/>
    <mergeCell ref="G3:G8"/>
    <mergeCell ref="H3:H8"/>
    <mergeCell ref="I3:I8"/>
    <mergeCell ref="N3:N8"/>
    <mergeCell ref="O3:O8"/>
    <mergeCell ref="P3:P8"/>
    <mergeCell ref="U3:U8"/>
    <mergeCell ref="V3:V8"/>
    <mergeCell ref="DF1:DI1"/>
    <mergeCell ref="DJ1:DM1"/>
    <mergeCell ref="DN1:DQ1"/>
    <mergeCell ref="DR1:DU1"/>
    <mergeCell ref="DV1:DY1"/>
    <mergeCell ref="DZ1:EC1"/>
    <mergeCell ref="CH1:CK1"/>
    <mergeCell ref="CL1:CO1"/>
    <mergeCell ref="CP1:CS1"/>
    <mergeCell ref="CT1:CW1"/>
    <mergeCell ref="CX1:DA1"/>
    <mergeCell ref="DB1:DE1"/>
    <mergeCell ref="BJ1:BM1"/>
    <mergeCell ref="BN1:BQ1"/>
    <mergeCell ref="BR1:BU1"/>
    <mergeCell ref="BV1:BY1"/>
    <mergeCell ref="BZ1:CC1"/>
    <mergeCell ref="CD1:CG1"/>
    <mergeCell ref="AL1:AO1"/>
    <mergeCell ref="AP1:AS1"/>
    <mergeCell ref="AT1:AW1"/>
    <mergeCell ref="AX1:BA1"/>
    <mergeCell ref="BB1:BE1"/>
    <mergeCell ref="BF1:BI1"/>
    <mergeCell ref="A1:B1"/>
    <mergeCell ref="C1:I1"/>
    <mergeCell ref="J1:P1"/>
    <mergeCell ref="Q1:W1"/>
    <mergeCell ref="AD1:AG1"/>
    <mergeCell ref="AH1:AK1"/>
  </mergeCells>
  <pageMargins left="0.511811024" right="0.511811024" top="0.78740157499999996" bottom="0.78740157499999996" header="0.31496062000000002" footer="0.31496062000000002"/>
  <pageSetup paperSize="9" scale="1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nordeste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Nathalya Rocha</dc:creator>
  <cp:lastModifiedBy>Nathalya Rocha</cp:lastModifiedBy>
  <dcterms:created xsi:type="dcterms:W3CDTF">2026-01-20T20:44:44Z</dcterms:created>
  <dcterms:modified xsi:type="dcterms:W3CDTF">2026-01-20T20:45:13Z</dcterms:modified>
</cp:coreProperties>
</file>