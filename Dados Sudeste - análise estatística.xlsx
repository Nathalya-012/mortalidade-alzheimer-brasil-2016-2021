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14be7dba2fa50b/Documentos/faculdade/tcc/Github/"/>
    </mc:Choice>
  </mc:AlternateContent>
  <xr:revisionPtr revIDLastSave="0" documentId="8_{081832B8-3BF7-4989-947B-E0F5D9B98EB3}" xr6:coauthVersionLast="47" xr6:coauthVersionMax="47" xr10:uidLastSave="{00000000-0000-0000-0000-000000000000}"/>
  <bookViews>
    <workbookView xWindow="-108" yWindow="-108" windowWidth="23256" windowHeight="12456" xr2:uid="{C094A40E-D60A-403B-8ACE-0066199C8DDF}"/>
  </bookViews>
  <sheets>
    <sheet name="sud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3" i="1" l="1"/>
  <c r="X93" i="1" s="1"/>
  <c r="N93" i="1"/>
  <c r="O93" i="1" s="1"/>
  <c r="F93" i="1"/>
  <c r="E93" i="1"/>
  <c r="W92" i="1"/>
  <c r="X92" i="1" s="1"/>
  <c r="N92" i="1"/>
  <c r="O92" i="1" s="1"/>
  <c r="E92" i="1"/>
  <c r="F92" i="1" s="1"/>
  <c r="X91" i="1"/>
  <c r="W91" i="1"/>
  <c r="N91" i="1"/>
  <c r="O91" i="1" s="1"/>
  <c r="E91" i="1"/>
  <c r="F91" i="1" s="1"/>
  <c r="W90" i="1"/>
  <c r="X90" i="1" s="1"/>
  <c r="O90" i="1"/>
  <c r="N90" i="1"/>
  <c r="E90" i="1"/>
  <c r="F90" i="1" s="1"/>
  <c r="W89" i="1"/>
  <c r="X89" i="1" s="1"/>
  <c r="N89" i="1"/>
  <c r="O89" i="1" s="1"/>
  <c r="F89" i="1"/>
  <c r="E89" i="1"/>
  <c r="AB88" i="1"/>
  <c r="AA88" i="1"/>
  <c r="Z88" i="1"/>
  <c r="W88" i="1"/>
  <c r="X88" i="1" s="1"/>
  <c r="S88" i="1"/>
  <c r="R88" i="1"/>
  <c r="Q88" i="1"/>
  <c r="N88" i="1"/>
  <c r="O88" i="1" s="1"/>
  <c r="J88" i="1"/>
  <c r="I88" i="1"/>
  <c r="H88" i="1"/>
  <c r="E88" i="1"/>
  <c r="F88" i="1" s="1"/>
  <c r="W87" i="1"/>
  <c r="X87" i="1" s="1"/>
  <c r="O87" i="1"/>
  <c r="N87" i="1"/>
  <c r="E87" i="1"/>
  <c r="F87" i="1" s="1"/>
  <c r="W86" i="1"/>
  <c r="X86" i="1" s="1"/>
  <c r="N86" i="1"/>
  <c r="O86" i="1" s="1"/>
  <c r="F86" i="1"/>
  <c r="E86" i="1"/>
  <c r="W85" i="1"/>
  <c r="X85" i="1" s="1"/>
  <c r="N85" i="1"/>
  <c r="O85" i="1" s="1"/>
  <c r="E85" i="1"/>
  <c r="F85" i="1" s="1"/>
  <c r="X84" i="1"/>
  <c r="W84" i="1"/>
  <c r="N84" i="1"/>
  <c r="O84" i="1" s="1"/>
  <c r="E84" i="1"/>
  <c r="F84" i="1" s="1"/>
  <c r="W83" i="1"/>
  <c r="X83" i="1" s="1"/>
  <c r="O83" i="1"/>
  <c r="N83" i="1"/>
  <c r="E83" i="1"/>
  <c r="F83" i="1" s="1"/>
  <c r="AB82" i="1"/>
  <c r="AA82" i="1"/>
  <c r="Z82" i="1"/>
  <c r="W82" i="1"/>
  <c r="X82" i="1" s="1"/>
  <c r="S82" i="1"/>
  <c r="R82" i="1"/>
  <c r="Q82" i="1"/>
  <c r="N82" i="1"/>
  <c r="O82" i="1" s="1"/>
  <c r="J82" i="1"/>
  <c r="I82" i="1"/>
  <c r="H82" i="1"/>
  <c r="F82" i="1"/>
  <c r="E82" i="1"/>
  <c r="W81" i="1"/>
  <c r="X81" i="1" s="1"/>
  <c r="O81" i="1"/>
  <c r="N81" i="1"/>
  <c r="E81" i="1"/>
  <c r="F81" i="1" s="1"/>
  <c r="X80" i="1"/>
  <c r="W80" i="1"/>
  <c r="N80" i="1"/>
  <c r="O80" i="1" s="1"/>
  <c r="F80" i="1"/>
  <c r="E80" i="1"/>
  <c r="W79" i="1"/>
  <c r="X79" i="1" s="1"/>
  <c r="O79" i="1"/>
  <c r="N79" i="1"/>
  <c r="E79" i="1"/>
  <c r="F79" i="1" s="1"/>
  <c r="X78" i="1"/>
  <c r="W78" i="1"/>
  <c r="N78" i="1"/>
  <c r="O78" i="1" s="1"/>
  <c r="F78" i="1"/>
  <c r="E78" i="1"/>
  <c r="W77" i="1"/>
  <c r="X77" i="1" s="1"/>
  <c r="O77" i="1"/>
  <c r="N77" i="1"/>
  <c r="E77" i="1"/>
  <c r="F77" i="1" s="1"/>
  <c r="AB76" i="1"/>
  <c r="AA76" i="1"/>
  <c r="Z76" i="1"/>
  <c r="W76" i="1"/>
  <c r="X76" i="1" s="1"/>
  <c r="S76" i="1"/>
  <c r="R76" i="1"/>
  <c r="Q76" i="1"/>
  <c r="N76" i="1"/>
  <c r="O76" i="1" s="1"/>
  <c r="J76" i="1"/>
  <c r="I76" i="1"/>
  <c r="H76" i="1"/>
  <c r="E76" i="1"/>
  <c r="F76" i="1" s="1"/>
  <c r="X75" i="1"/>
  <c r="W75" i="1"/>
  <c r="N75" i="1"/>
  <c r="O75" i="1" s="1"/>
  <c r="E75" i="1"/>
  <c r="F75" i="1" s="1"/>
  <c r="W74" i="1"/>
  <c r="X74" i="1" s="1"/>
  <c r="O74" i="1"/>
  <c r="N74" i="1"/>
  <c r="E74" i="1"/>
  <c r="F74" i="1" s="1"/>
  <c r="W73" i="1"/>
  <c r="X73" i="1" s="1"/>
  <c r="N73" i="1"/>
  <c r="O73" i="1" s="1"/>
  <c r="F73" i="1"/>
  <c r="E73" i="1"/>
  <c r="W72" i="1"/>
  <c r="X72" i="1" s="1"/>
  <c r="N72" i="1"/>
  <c r="O72" i="1" s="1"/>
  <c r="E72" i="1"/>
  <c r="F72" i="1" s="1"/>
  <c r="X71" i="1"/>
  <c r="W71" i="1"/>
  <c r="N71" i="1"/>
  <c r="O71" i="1" s="1"/>
  <c r="E71" i="1"/>
  <c r="F71" i="1" s="1"/>
  <c r="AB70" i="1"/>
  <c r="AA70" i="1"/>
  <c r="Z70" i="1"/>
  <c r="W70" i="1"/>
  <c r="X70" i="1" s="1"/>
  <c r="S70" i="1"/>
  <c r="R70" i="1"/>
  <c r="Q70" i="1"/>
  <c r="N70" i="1"/>
  <c r="O70" i="1" s="1"/>
  <c r="J70" i="1"/>
  <c r="I70" i="1"/>
  <c r="H70" i="1"/>
  <c r="E70" i="1"/>
  <c r="F70" i="1" s="1"/>
  <c r="X60" i="1"/>
  <c r="W60" i="1"/>
  <c r="N60" i="1"/>
  <c r="O60" i="1" s="1"/>
  <c r="E60" i="1"/>
  <c r="F60" i="1" s="1"/>
  <c r="W59" i="1"/>
  <c r="X59" i="1" s="1"/>
  <c r="O59" i="1"/>
  <c r="N59" i="1"/>
  <c r="E59" i="1"/>
  <c r="F59" i="1" s="1"/>
  <c r="W58" i="1"/>
  <c r="X58" i="1" s="1"/>
  <c r="N58" i="1"/>
  <c r="O58" i="1" s="1"/>
  <c r="F58" i="1"/>
  <c r="E58" i="1"/>
  <c r="W57" i="1"/>
  <c r="X57" i="1" s="1"/>
  <c r="N57" i="1"/>
  <c r="O57" i="1" s="1"/>
  <c r="E57" i="1"/>
  <c r="F57" i="1" s="1"/>
  <c r="X56" i="1"/>
  <c r="W56" i="1"/>
  <c r="N56" i="1"/>
  <c r="O56" i="1" s="1"/>
  <c r="E56" i="1"/>
  <c r="F56" i="1" s="1"/>
  <c r="AB55" i="1"/>
  <c r="AA55" i="1"/>
  <c r="Z55" i="1"/>
  <c r="W55" i="1"/>
  <c r="X55" i="1" s="1"/>
  <c r="S55" i="1"/>
  <c r="R55" i="1"/>
  <c r="Q55" i="1"/>
  <c r="N55" i="1"/>
  <c r="O55" i="1" s="1"/>
  <c r="J55" i="1"/>
  <c r="I55" i="1"/>
  <c r="H55" i="1"/>
  <c r="F55" i="1"/>
  <c r="E55" i="1"/>
  <c r="W54" i="1"/>
  <c r="X54" i="1" s="1"/>
  <c r="N54" i="1"/>
  <c r="O54" i="1" s="1"/>
  <c r="E54" i="1"/>
  <c r="F54" i="1" s="1"/>
  <c r="X53" i="1"/>
  <c r="W53" i="1"/>
  <c r="N53" i="1"/>
  <c r="O53" i="1" s="1"/>
  <c r="E53" i="1"/>
  <c r="F53" i="1" s="1"/>
  <c r="W52" i="1"/>
  <c r="X52" i="1" s="1"/>
  <c r="O52" i="1"/>
  <c r="N52" i="1"/>
  <c r="E52" i="1"/>
  <c r="F52" i="1" s="1"/>
  <c r="W51" i="1"/>
  <c r="X51" i="1" s="1"/>
  <c r="N51" i="1"/>
  <c r="O51" i="1" s="1"/>
  <c r="F51" i="1"/>
  <c r="E51" i="1"/>
  <c r="W50" i="1"/>
  <c r="X50" i="1" s="1"/>
  <c r="N50" i="1"/>
  <c r="O50" i="1" s="1"/>
  <c r="E50" i="1"/>
  <c r="F50" i="1" s="1"/>
  <c r="AB49" i="1"/>
  <c r="AA49" i="1"/>
  <c r="Z49" i="1"/>
  <c r="W49" i="1"/>
  <c r="X49" i="1" s="1"/>
  <c r="S49" i="1"/>
  <c r="R49" i="1"/>
  <c r="Q49" i="1"/>
  <c r="O49" i="1"/>
  <c r="N49" i="1"/>
  <c r="J49" i="1"/>
  <c r="I49" i="1"/>
  <c r="H49" i="1"/>
  <c r="F49" i="1"/>
  <c r="E49" i="1"/>
  <c r="W48" i="1"/>
  <c r="X48" i="1" s="1"/>
  <c r="N48" i="1"/>
  <c r="O48" i="1" s="1"/>
  <c r="E48" i="1"/>
  <c r="F48" i="1" s="1"/>
  <c r="X47" i="1"/>
  <c r="W47" i="1"/>
  <c r="N47" i="1"/>
  <c r="O47" i="1" s="1"/>
  <c r="E47" i="1"/>
  <c r="F47" i="1" s="1"/>
  <c r="W46" i="1"/>
  <c r="X46" i="1" s="1"/>
  <c r="O46" i="1"/>
  <c r="N46" i="1"/>
  <c r="E46" i="1"/>
  <c r="F46" i="1" s="1"/>
  <c r="W45" i="1"/>
  <c r="X45" i="1" s="1"/>
  <c r="N45" i="1"/>
  <c r="O45" i="1" s="1"/>
  <c r="F45" i="1"/>
  <c r="E45" i="1"/>
  <c r="W44" i="1"/>
  <c r="X44" i="1" s="1"/>
  <c r="N44" i="1"/>
  <c r="O44" i="1" s="1"/>
  <c r="E44" i="1"/>
  <c r="F44" i="1" s="1"/>
  <c r="AB43" i="1"/>
  <c r="AA43" i="1"/>
  <c r="Z43" i="1"/>
  <c r="X43" i="1"/>
  <c r="W43" i="1"/>
  <c r="S43" i="1"/>
  <c r="R43" i="1"/>
  <c r="Q43" i="1"/>
  <c r="O43" i="1"/>
  <c r="N43" i="1"/>
  <c r="J43" i="1"/>
  <c r="I43" i="1"/>
  <c r="H43" i="1"/>
  <c r="F43" i="1"/>
  <c r="E43" i="1"/>
  <c r="W42" i="1"/>
  <c r="X42" i="1" s="1"/>
  <c r="N42" i="1"/>
  <c r="O42" i="1" s="1"/>
  <c r="F42" i="1"/>
  <c r="E42" i="1"/>
  <c r="X41" i="1"/>
  <c r="W41" i="1"/>
  <c r="N41" i="1"/>
  <c r="O41" i="1" s="1"/>
  <c r="E41" i="1"/>
  <c r="F41" i="1" s="1"/>
  <c r="X40" i="1"/>
  <c r="W40" i="1"/>
  <c r="O40" i="1"/>
  <c r="N40" i="1"/>
  <c r="E40" i="1"/>
  <c r="F40" i="1" s="1"/>
  <c r="W39" i="1"/>
  <c r="X39" i="1" s="1"/>
  <c r="O39" i="1"/>
  <c r="N39" i="1"/>
  <c r="F39" i="1"/>
  <c r="E39" i="1"/>
  <c r="W38" i="1"/>
  <c r="X38" i="1" s="1"/>
  <c r="N38" i="1"/>
  <c r="O38" i="1" s="1"/>
  <c r="F38" i="1"/>
  <c r="E38" i="1"/>
  <c r="AB37" i="1"/>
  <c r="AA37" i="1"/>
  <c r="Z37" i="1"/>
  <c r="X37" i="1"/>
  <c r="W37" i="1"/>
  <c r="S37" i="1"/>
  <c r="R37" i="1"/>
  <c r="Q37" i="1"/>
  <c r="N37" i="1"/>
  <c r="O37" i="1" s="1"/>
  <c r="J37" i="1"/>
  <c r="I37" i="1"/>
  <c r="H37" i="1"/>
  <c r="E37" i="1"/>
  <c r="F37" i="1" s="1"/>
  <c r="W26" i="1"/>
  <c r="X26" i="1" s="1"/>
  <c r="N26" i="1"/>
  <c r="O26" i="1" s="1"/>
  <c r="F26" i="1"/>
  <c r="E26" i="1"/>
  <c r="W25" i="1"/>
  <c r="X25" i="1" s="1"/>
  <c r="N25" i="1"/>
  <c r="O25" i="1" s="1"/>
  <c r="E25" i="1"/>
  <c r="F25" i="1" s="1"/>
  <c r="X24" i="1"/>
  <c r="W24" i="1"/>
  <c r="N24" i="1"/>
  <c r="O24" i="1" s="1"/>
  <c r="E24" i="1"/>
  <c r="F24" i="1" s="1"/>
  <c r="W23" i="1"/>
  <c r="X23" i="1" s="1"/>
  <c r="O23" i="1"/>
  <c r="N23" i="1"/>
  <c r="E23" i="1"/>
  <c r="F23" i="1" s="1"/>
  <c r="W22" i="1"/>
  <c r="X22" i="1" s="1"/>
  <c r="N22" i="1"/>
  <c r="O22" i="1" s="1"/>
  <c r="F22" i="1"/>
  <c r="E22" i="1"/>
  <c r="AB21" i="1"/>
  <c r="AA21" i="1"/>
  <c r="Z21" i="1"/>
  <c r="W21" i="1"/>
  <c r="X21" i="1" s="1"/>
  <c r="S21" i="1"/>
  <c r="R21" i="1"/>
  <c r="Q21" i="1"/>
  <c r="N21" i="1"/>
  <c r="O21" i="1" s="1"/>
  <c r="J21" i="1"/>
  <c r="I21" i="1"/>
  <c r="H21" i="1"/>
  <c r="E21" i="1"/>
  <c r="F21" i="1" s="1"/>
  <c r="W20" i="1"/>
  <c r="X20" i="1" s="1"/>
  <c r="O20" i="1"/>
  <c r="N20" i="1"/>
  <c r="E20" i="1"/>
  <c r="F20" i="1" s="1"/>
  <c r="W19" i="1"/>
  <c r="X19" i="1" s="1"/>
  <c r="N19" i="1"/>
  <c r="O19" i="1" s="1"/>
  <c r="F19" i="1"/>
  <c r="E19" i="1"/>
  <c r="W18" i="1"/>
  <c r="X18" i="1" s="1"/>
  <c r="N18" i="1"/>
  <c r="O18" i="1" s="1"/>
  <c r="E18" i="1"/>
  <c r="F18" i="1" s="1"/>
  <c r="X17" i="1"/>
  <c r="W17" i="1"/>
  <c r="N17" i="1"/>
  <c r="O17" i="1" s="1"/>
  <c r="E17" i="1"/>
  <c r="F17" i="1" s="1"/>
  <c r="W16" i="1"/>
  <c r="X16" i="1" s="1"/>
  <c r="O16" i="1"/>
  <c r="N16" i="1"/>
  <c r="E16" i="1"/>
  <c r="F16" i="1" s="1"/>
  <c r="AB15" i="1"/>
  <c r="AA15" i="1"/>
  <c r="Z15" i="1"/>
  <c r="W15" i="1"/>
  <c r="X15" i="1" s="1"/>
  <c r="S15" i="1"/>
  <c r="R15" i="1"/>
  <c r="Q15" i="1"/>
  <c r="N15" i="1"/>
  <c r="O15" i="1" s="1"/>
  <c r="J15" i="1"/>
  <c r="I15" i="1"/>
  <c r="H15" i="1"/>
  <c r="E15" i="1"/>
  <c r="F15" i="1" s="1"/>
  <c r="W14" i="1"/>
  <c r="X14" i="1" s="1"/>
  <c r="O14" i="1"/>
  <c r="N14" i="1"/>
  <c r="E14" i="1"/>
  <c r="F14" i="1" s="1"/>
  <c r="W13" i="1"/>
  <c r="X13" i="1" s="1"/>
  <c r="N13" i="1"/>
  <c r="O13" i="1" s="1"/>
  <c r="F13" i="1"/>
  <c r="E13" i="1"/>
  <c r="W12" i="1"/>
  <c r="X12" i="1" s="1"/>
  <c r="N12" i="1"/>
  <c r="O12" i="1" s="1"/>
  <c r="E12" i="1"/>
  <c r="F12" i="1" s="1"/>
  <c r="X11" i="1"/>
  <c r="W11" i="1"/>
  <c r="N11" i="1"/>
  <c r="O11" i="1" s="1"/>
  <c r="E11" i="1"/>
  <c r="F11" i="1" s="1"/>
  <c r="W10" i="1"/>
  <c r="X10" i="1" s="1"/>
  <c r="O10" i="1"/>
  <c r="N10" i="1"/>
  <c r="E10" i="1"/>
  <c r="F10" i="1" s="1"/>
  <c r="AB9" i="1"/>
  <c r="AA9" i="1"/>
  <c r="Z9" i="1"/>
  <c r="W9" i="1"/>
  <c r="X9" i="1" s="1"/>
  <c r="S9" i="1"/>
  <c r="R9" i="1"/>
  <c r="Q9" i="1"/>
  <c r="N9" i="1"/>
  <c r="O9" i="1" s="1"/>
  <c r="J9" i="1"/>
  <c r="I9" i="1"/>
  <c r="H9" i="1"/>
  <c r="E9" i="1"/>
  <c r="F9" i="1" s="1"/>
  <c r="X8" i="1"/>
  <c r="W8" i="1"/>
  <c r="N8" i="1"/>
  <c r="O8" i="1" s="1"/>
  <c r="E8" i="1"/>
  <c r="F8" i="1" s="1"/>
  <c r="W7" i="1"/>
  <c r="X7" i="1" s="1"/>
  <c r="O7" i="1"/>
  <c r="N7" i="1"/>
  <c r="E7" i="1"/>
  <c r="F7" i="1" s="1"/>
  <c r="W6" i="1"/>
  <c r="X6" i="1" s="1"/>
  <c r="N6" i="1"/>
  <c r="O6" i="1" s="1"/>
  <c r="F6" i="1"/>
  <c r="E6" i="1"/>
  <c r="W5" i="1"/>
  <c r="X5" i="1" s="1"/>
  <c r="N5" i="1"/>
  <c r="O5" i="1" s="1"/>
  <c r="E5" i="1"/>
  <c r="F5" i="1" s="1"/>
  <c r="X4" i="1"/>
  <c r="W4" i="1"/>
  <c r="N4" i="1"/>
  <c r="O4" i="1" s="1"/>
  <c r="E4" i="1"/>
  <c r="F4" i="1" s="1"/>
  <c r="AB3" i="1"/>
  <c r="AA3" i="1"/>
  <c r="Z3" i="1"/>
  <c r="W3" i="1"/>
  <c r="X3" i="1" s="1"/>
  <c r="S3" i="1"/>
  <c r="R3" i="1"/>
  <c r="Q3" i="1"/>
  <c r="N3" i="1"/>
  <c r="O3" i="1" s="1"/>
  <c r="J3" i="1"/>
  <c r="I3" i="1"/>
  <c r="H3" i="1"/>
  <c r="E3" i="1"/>
  <c r="F3" i="1" s="1"/>
</calcChain>
</file>

<file path=xl/sharedStrings.xml><?xml version="1.0" encoding="utf-8"?>
<sst xmlns="http://schemas.openxmlformats.org/spreadsheetml/2006/main" count="1551" uniqueCount="523">
  <si>
    <t>Sudeste</t>
  </si>
  <si>
    <t>Geral</t>
  </si>
  <si>
    <t>Feminina</t>
  </si>
  <si>
    <t>Masculina</t>
  </si>
  <si>
    <r>
      <t xml:space="preserve">Regressão log-linear </t>
    </r>
    <r>
      <rPr>
        <b/>
        <sz val="8"/>
        <color rgb="FFFF0000"/>
        <rFont val="Arial Nova"/>
        <family val="2"/>
      </rPr>
      <t>Geral Espirito Santos</t>
    </r>
  </si>
  <si>
    <r>
      <t xml:space="preserve">Regressão log-linear </t>
    </r>
    <r>
      <rPr>
        <b/>
        <sz val="8"/>
        <color rgb="FFFF0000"/>
        <rFont val="Arial Nova"/>
        <family val="2"/>
      </rPr>
      <t>feminino Espirito Santos</t>
    </r>
  </si>
  <si>
    <r>
      <t xml:space="preserve">Regressão log-linear </t>
    </r>
    <r>
      <rPr>
        <b/>
        <sz val="8"/>
        <color rgb="FFFF0000"/>
        <rFont val="Arial Nova"/>
        <family val="2"/>
      </rPr>
      <t>masculino Espirito Santos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</si>
  <si>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Geral Minas Gerais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</si>
  <si>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feminino Minas Gerais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</si>
  <si>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masculino Minas Gerais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</si>
  <si>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Geral Rio de Janeiro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</si>
  <si>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feminino Rio de janeiro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</si>
  <si>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masculino Rio de janeiro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</si>
  <si>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Geral São paulo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</si>
  <si>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feminino São Paulo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</si>
  <si>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masculino São Paulo </t>
    </r>
  </si>
  <si>
    <t>Estados</t>
  </si>
  <si>
    <t>ano</t>
  </si>
  <si>
    <t>população</t>
  </si>
  <si>
    <t>óbito</t>
  </si>
  <si>
    <t>Mortalidade /100000 hab.</t>
  </si>
  <si>
    <t>LN</t>
  </si>
  <si>
    <t>coef. De regressão</t>
  </si>
  <si>
    <t>VPA%</t>
  </si>
  <si>
    <t>IC95% minimo</t>
  </si>
  <si>
    <t>IC95% máximo</t>
  </si>
  <si>
    <t>p-valor</t>
  </si>
  <si>
    <t>População</t>
  </si>
  <si>
    <t>Fontes de variação</t>
  </si>
  <si>
    <t>GL</t>
  </si>
  <si>
    <t>SQ</t>
  </si>
  <si>
    <t>QM</t>
  </si>
  <si>
    <t>Espírito Santo</t>
  </si>
  <si>
    <t>Regressão</t>
  </si>
  <si>
    <t>0.0851</t>
  </si>
  <si>
    <t>Erro</t>
  </si>
  <si>
    <t>0.0127</t>
  </si>
  <si>
    <t>0.0032</t>
  </si>
  <si>
    <t>Total</t>
  </si>
  <si>
    <t>0.0978</t>
  </si>
  <si>
    <t>---</t>
  </si>
  <si>
    <t>F (regressão) =</t>
  </si>
  <si>
    <t>26.6858</t>
  </si>
  <si>
    <t>p = 0.0080</t>
  </si>
  <si>
    <t>p = 0.0094</t>
  </si>
  <si>
    <t>p = 0.0228</t>
  </si>
  <si>
    <t>p = 0.0031</t>
  </si>
  <si>
    <t>p = 0.0041</t>
  </si>
  <si>
    <t>p = 0.0021</t>
  </si>
  <si>
    <t>p = 0.0746</t>
  </si>
  <si>
    <t>p = 0.0513</t>
  </si>
  <si>
    <t>p = 0.3351</t>
  </si>
  <si>
    <t>p = 0.0023</t>
  </si>
  <si>
    <t>p = 0.0028</t>
  </si>
  <si>
    <t>p = 0.0105</t>
  </si>
  <si>
    <t>Variável dependente =</t>
  </si>
  <si>
    <t>Coluna  1</t>
  </si>
  <si>
    <t>Minas Gerais</t>
  </si>
  <si>
    <t>Variável independente =</t>
  </si>
  <si>
    <t>Coluna  2</t>
  </si>
  <si>
    <t>Média (X) =</t>
  </si>
  <si>
    <t>3.5000</t>
  </si>
  <si>
    <t>Média (Y) =</t>
  </si>
  <si>
    <t>2.8100</t>
  </si>
  <si>
    <t>Coef. de Determinação (R2) =</t>
  </si>
  <si>
    <t>0.8696</t>
  </si>
  <si>
    <t>R2 (ajustado) =</t>
  </si>
  <si>
    <t>0.8371</t>
  </si>
  <si>
    <t>Coeficiente de Correlação =</t>
  </si>
  <si>
    <t>0.9325</t>
  </si>
  <si>
    <t>Rio de Janeiro</t>
  </si>
  <si>
    <t>Intercepto (a) =</t>
  </si>
  <si>
    <t>2.5660</t>
  </si>
  <si>
    <t>t = 48.8236</t>
  </si>
  <si>
    <t>p &lt; 0.0001</t>
  </si>
  <si>
    <t>t = 46.6939</t>
  </si>
  <si>
    <t>t = 34.8182</t>
  </si>
  <si>
    <t>t = 62.7766</t>
  </si>
  <si>
    <t>t = 64.9173</t>
  </si>
  <si>
    <t>t = 57.8781</t>
  </si>
  <si>
    <t>t = 75.6333</t>
  </si>
  <si>
    <t>t = 78.8196</t>
  </si>
  <si>
    <t>t = 56.0013</t>
  </si>
  <si>
    <t>t = 103.3625</t>
  </si>
  <si>
    <t>t = 100.8499</t>
  </si>
  <si>
    <t>t = 59.7393</t>
  </si>
  <si>
    <t>Coef. de Regressão (b) =</t>
  </si>
  <si>
    <t>0.0697</t>
  </si>
  <si>
    <t>t = 5.1658</t>
  </si>
  <si>
    <t>p = 0.0067</t>
  </si>
  <si>
    <t>t = 4.8909</t>
  </si>
  <si>
    <t>p = 0.0081</t>
  </si>
  <si>
    <t>t = 3.6426</t>
  </si>
  <si>
    <t>p = 0.0219</t>
  </si>
  <si>
    <t>t = 7.2886</t>
  </si>
  <si>
    <t>p = 0.0019</t>
  </si>
  <si>
    <t>t = 6.5466</t>
  </si>
  <si>
    <t>t = 8.5421</t>
  </si>
  <si>
    <t>p = 0.0010</t>
  </si>
  <si>
    <t>t = 2.3936</t>
  </si>
  <si>
    <t>p = 0.0748</t>
  </si>
  <si>
    <t>t = 2.7530</t>
  </si>
  <si>
    <t>p = 0.0512</t>
  </si>
  <si>
    <t>t = 1.0975</t>
  </si>
  <si>
    <t>p = 0.3340</t>
  </si>
  <si>
    <t>t = 8.1583</t>
  </si>
  <si>
    <t>p = 0.0012</t>
  </si>
  <si>
    <t>t = 7.5913</t>
  </si>
  <si>
    <t>p = 0.0016</t>
  </si>
  <si>
    <t>t = 4.7101</t>
  </si>
  <si>
    <t>p = 0.0092</t>
  </si>
  <si>
    <t>IC 95% (a)</t>
  </si>
  <si>
    <t>2.420 a 2.712</t>
  </si>
  <si>
    <t>2.598 a 2.926</t>
  </si>
  <si>
    <t>2.124 a 2.492</t>
  </si>
  <si>
    <t>2.171 a 2.372</t>
  </si>
  <si>
    <t>2.398 a 2.612</t>
  </si>
  <si>
    <t>1.859 a 2.046</t>
  </si>
  <si>
    <t>2.337 a 2.515</t>
  </si>
  <si>
    <t>2.582 a 2.770</t>
  </si>
  <si>
    <t>1.943 a 2.145</t>
  </si>
  <si>
    <t>2.346 a 2.475</t>
  </si>
  <si>
    <t>2.573 a 2.719</t>
  </si>
  <si>
    <t>1.992 a 2.186</t>
  </si>
  <si>
    <t>IC 95% (b)</t>
  </si>
  <si>
    <t>0.032 a 0.107</t>
  </si>
  <si>
    <t>0.032 a 0.116</t>
  </si>
  <si>
    <t>0.015 a 0.109</t>
  </si>
  <si>
    <t>0.042 a 0.094</t>
  </si>
  <si>
    <t>0.037 a 0.092</t>
  </si>
  <si>
    <t>0.050 a 0.098</t>
  </si>
  <si>
    <t>-0.003 a 0.043</t>
  </si>
  <si>
    <t>0.000 a 0.048</t>
  </si>
  <si>
    <t>-0.016 a 0.036</t>
  </si>
  <si>
    <t>0.032 a 0.065</t>
  </si>
  <si>
    <t>0.032 a 0.070</t>
  </si>
  <si>
    <t>0.017 a 0.067</t>
  </si>
  <si>
    <t>Equação</t>
  </si>
  <si>
    <t>Y' = a + bX</t>
  </si>
  <si>
    <t>São Paulo</t>
  </si>
  <si>
    <r>
      <t xml:space="preserve">Faixa Etária - </t>
    </r>
    <r>
      <rPr>
        <b/>
        <sz val="7"/>
        <color rgb="FFEE0000"/>
        <rFont val="Garamond"/>
        <family val="1"/>
      </rPr>
      <t>Feminina</t>
    </r>
  </si>
  <si>
    <t>60 - 69</t>
  </si>
  <si>
    <t>70 - 79</t>
  </si>
  <si>
    <t>80 ou mais</t>
  </si>
  <si>
    <r>
      <t xml:space="preserve">Regressão log-linear </t>
    </r>
    <r>
      <rPr>
        <b/>
        <sz val="8"/>
        <color rgb="FFFF0000"/>
        <rFont val="Arial Nova"/>
        <family val="2"/>
      </rPr>
      <t>60-69 Espirito Santos</t>
    </r>
  </si>
  <si>
    <r>
      <t xml:space="preserve">Regressão log-linear </t>
    </r>
    <r>
      <rPr>
        <b/>
        <sz val="8"/>
        <color rgb="FFFF0000"/>
        <rFont val="Arial Nova"/>
        <family val="2"/>
      </rPr>
      <t>70-79 Espirito Santos</t>
    </r>
  </si>
  <si>
    <r>
      <t xml:space="preserve">Regressão log-linear </t>
    </r>
    <r>
      <rPr>
        <b/>
        <sz val="8"/>
        <color rgb="FFFF0000"/>
        <rFont val="Arial Nova"/>
        <family val="2"/>
      </rPr>
      <t>80 - &gt; Espirito Santos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</si>
  <si>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60-69 Minas Gerais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</si>
  <si>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70-79 Minas Gerais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</si>
  <si>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80 - &gt; Minas Gerais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</si>
  <si>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60-69  Rio de Janeiro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</si>
  <si>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70-79 Rio de janeiro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</si>
  <si>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80 - &gt; Rio de janeiro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</si>
  <si>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60-69  São paulo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</si>
  <si>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70-79 São Paulo </t>
    </r>
  </si>
  <si>
    <r>
      <t xml:space="preserve">Regressão log-linear </t>
    </r>
    <r>
      <rPr>
        <b/>
        <sz val="8"/>
        <color rgb="FFFF0000"/>
        <rFont val="Garamond"/>
        <family val="1"/>
      </rPr>
      <t xml:space="preserve">80 - &gt; São Paulo </t>
    </r>
  </si>
  <si>
    <t>0.0026</t>
  </si>
  <si>
    <t>0.0003</t>
  </si>
  <si>
    <t>0.0272</t>
  </si>
  <si>
    <t>0.0157</t>
  </si>
  <si>
    <t>0.0045</t>
  </si>
  <si>
    <t>0.0014</t>
  </si>
  <si>
    <t>0.0654</t>
  </si>
  <si>
    <t>1.7920</t>
  </si>
  <si>
    <t>0.0076</t>
  </si>
  <si>
    <t>0.0871</t>
  </si>
  <si>
    <t>0.0218</t>
  </si>
  <si>
    <t>0.0581</t>
  </si>
  <si>
    <t>0.0145</t>
  </si>
  <si>
    <t>0.0054</t>
  </si>
  <si>
    <t>0.0013</t>
  </si>
  <si>
    <t>0.0677</t>
  </si>
  <si>
    <t>0.0169</t>
  </si>
  <si>
    <t>0.0241</t>
  </si>
  <si>
    <t>0.0060</t>
  </si>
  <si>
    <t>0.0053</t>
  </si>
  <si>
    <t>0.0567</t>
  </si>
  <si>
    <t>0.0142</t>
  </si>
  <si>
    <t>2.0489</t>
  </si>
  <si>
    <t>0.5122</t>
  </si>
  <si>
    <t>0.0035</t>
  </si>
  <si>
    <t>0.0009</t>
  </si>
  <si>
    <t>0.0897</t>
  </si>
  <si>
    <t>0.0583</t>
  </si>
  <si>
    <t>0.0326</t>
  </si>
  <si>
    <t>0.0835</t>
  </si>
  <si>
    <t>0.0285</t>
  </si>
  <si>
    <t>0.0067</t>
  </si>
  <si>
    <t>0.1221</t>
  </si>
  <si>
    <t>3.8409</t>
  </si>
  <si>
    <t>0.0111</t>
  </si>
  <si>
    <t>p = 0.0083</t>
  </si>
  <si>
    <t>p = 0.3057</t>
  </si>
  <si>
    <t>p = 0.0324</t>
  </si>
  <si>
    <t>0.1213</t>
  </si>
  <si>
    <t>p = 0.7415</t>
  </si>
  <si>
    <t>0.0193</t>
  </si>
  <si>
    <t>p = 0.8911</t>
  </si>
  <si>
    <t>20.1737</t>
  </si>
  <si>
    <t>p = 0.0121</t>
  </si>
  <si>
    <t>0.9301</t>
  </si>
  <si>
    <t>p = 0.6083</t>
  </si>
  <si>
    <t>0.7450</t>
  </si>
  <si>
    <t>p = 0.5600</t>
  </si>
  <si>
    <t>1.0341</t>
  </si>
  <si>
    <t>p = 0.3685</t>
  </si>
  <si>
    <t>4.6145</t>
  </si>
  <si>
    <t>p = 0.0977</t>
  </si>
  <si>
    <t>3.4984</t>
  </si>
  <si>
    <t>p = 0.1341</t>
  </si>
  <si>
    <t>8.7744</t>
  </si>
  <si>
    <t>p = 0.0418</t>
  </si>
  <si>
    <t>1.5050</t>
  </si>
  <si>
    <t>3.8367</t>
  </si>
  <si>
    <t>6.1300</t>
  </si>
  <si>
    <t>1.5717</t>
  </si>
  <si>
    <t>3.8833</t>
  </si>
  <si>
    <t>6.0483</t>
  </si>
  <si>
    <t>1.5533</t>
  </si>
  <si>
    <t>3.6267</t>
  </si>
  <si>
    <t>6.3017</t>
  </si>
  <si>
    <t>0.0294</t>
  </si>
  <si>
    <t>0.0048</t>
  </si>
  <si>
    <t>0.8345</t>
  </si>
  <si>
    <t>0.1887</t>
  </si>
  <si>
    <t>0.1570</t>
  </si>
  <si>
    <t>0.2054</t>
  </si>
  <si>
    <t>0.5357</t>
  </si>
  <si>
    <t>0.4666</t>
  </si>
  <si>
    <t>0.6869</t>
  </si>
  <si>
    <t>-0.2132</t>
  </si>
  <si>
    <t>-0.2440</t>
  </si>
  <si>
    <t>0.7932</t>
  </si>
  <si>
    <t>-0.0142</t>
  </si>
  <si>
    <t>-0.0537</t>
  </si>
  <si>
    <t>0.0068</t>
  </si>
  <si>
    <t>0.4196</t>
  </si>
  <si>
    <t>0.3332</t>
  </si>
  <si>
    <t>0.6086</t>
  </si>
  <si>
    <t>0.1716</t>
  </si>
  <si>
    <t>0.0693</t>
  </si>
  <si>
    <t>0.9135</t>
  </si>
  <si>
    <t>0.4344</t>
  </si>
  <si>
    <t>0.3962</t>
  </si>
  <si>
    <t>0.4532</t>
  </si>
  <si>
    <t>0.7319</t>
  </si>
  <si>
    <t>0.6830</t>
  </si>
  <si>
    <t>0.8288</t>
  </si>
  <si>
    <t>t = 22.3157</t>
  </si>
  <si>
    <t>t = 24.9925</t>
  </si>
  <si>
    <t>t = 98.1958</t>
  </si>
  <si>
    <t>1.5480</t>
  </si>
  <si>
    <t>t = 11.2679</t>
  </si>
  <si>
    <t>3.8227</t>
  </si>
  <si>
    <t>t = 34.0845</t>
  </si>
  <si>
    <t>5.9920</t>
  </si>
  <si>
    <t>t = 175.2705</t>
  </si>
  <si>
    <t>1.6767</t>
  </si>
  <si>
    <t>t = 13.8404</t>
  </si>
  <si>
    <t>3.9393</t>
  </si>
  <si>
    <t>t = 54.5681</t>
  </si>
  <si>
    <t>6.0173</t>
  </si>
  <si>
    <t>t = 177.3950</t>
  </si>
  <si>
    <t>1.3393</t>
  </si>
  <si>
    <t>t = 12.0826</t>
  </si>
  <si>
    <t>2.5067</t>
  </si>
  <si>
    <t>t = 3.7622</t>
  </si>
  <si>
    <t>p = 0.0197</t>
  </si>
  <si>
    <t>6.2287</t>
  </si>
  <si>
    <t>t = 227.1457</t>
  </si>
  <si>
    <t>t = -5.0954</t>
  </si>
  <si>
    <t>p = 0.0070</t>
  </si>
  <si>
    <t>t = 1.1747</t>
  </si>
  <si>
    <t>p = 0.3052</t>
  </si>
  <si>
    <t>t = 3.2337</t>
  </si>
  <si>
    <t>p = 0.0318</t>
  </si>
  <si>
    <t>-0.0123</t>
  </si>
  <si>
    <t>t = -0.3483</t>
  </si>
  <si>
    <t>p = 0.7452</t>
  </si>
  <si>
    <t>0.0040</t>
  </si>
  <si>
    <t>t = 0.1389</t>
  </si>
  <si>
    <t>p = 0.8962</t>
  </si>
  <si>
    <t>0.0394</t>
  </si>
  <si>
    <t>t = 4.4915</t>
  </si>
  <si>
    <t>p = 0.0109</t>
  </si>
  <si>
    <t>-0.0300</t>
  </si>
  <si>
    <t>t = -0.9644</t>
  </si>
  <si>
    <t>p = 0.3894</t>
  </si>
  <si>
    <t>-0.0160</t>
  </si>
  <si>
    <t>t = -0.8631</t>
  </si>
  <si>
    <t>p = 0.4367</t>
  </si>
  <si>
    <t>0.0089</t>
  </si>
  <si>
    <t>t = 1.0169</t>
  </si>
  <si>
    <t>p = 0.3667</t>
  </si>
  <si>
    <t>0.0611</t>
  </si>
  <si>
    <t>t = 2.1481</t>
  </si>
  <si>
    <t>p = 0.0981</t>
  </si>
  <si>
    <t>0.3200</t>
  </si>
  <si>
    <t>t = 1.8704</t>
  </si>
  <si>
    <t>p = 0.1347</t>
  </si>
  <si>
    <t>0.0209</t>
  </si>
  <si>
    <t>t = 2.9622</t>
  </si>
  <si>
    <t>p = 0.0414</t>
  </si>
  <si>
    <t>2.108 a 2.707</t>
  </si>
  <si>
    <t>3.640 a 4.550</t>
  </si>
  <si>
    <t>6.205 a 6.567</t>
  </si>
  <si>
    <t>1.167 a 1.929</t>
  </si>
  <si>
    <t>3.511 a 4.134</t>
  </si>
  <si>
    <t>5.897 a 6.087</t>
  </si>
  <si>
    <t>1.340 a 2.013</t>
  </si>
  <si>
    <t>3.739 a 4.140</t>
  </si>
  <si>
    <t>5.923 a 6.111</t>
  </si>
  <si>
    <t>1.032 a 1.647</t>
  </si>
  <si>
    <t>0.657 a 4.356</t>
  </si>
  <si>
    <t>6.153 a 6.305</t>
  </si>
  <si>
    <t>-0.218 a -0.064</t>
  </si>
  <si>
    <t>-0.067 a 0.166</t>
  </si>
  <si>
    <t>0.008 a 0.100</t>
  </si>
  <si>
    <t>-0.110 a 0.086</t>
  </si>
  <si>
    <t>-0.076 a 0.084</t>
  </si>
  <si>
    <t>0.015 a 0.064</t>
  </si>
  <si>
    <t>-0.116 a 0.056</t>
  </si>
  <si>
    <t>-0.067 a 0.035</t>
  </si>
  <si>
    <t>-0.015 a 0.033</t>
  </si>
  <si>
    <t>-0.018 a 0.140</t>
  </si>
  <si>
    <t>-0.155 a 0.795</t>
  </si>
  <si>
    <t>0.001 a 0.040</t>
  </si>
  <si>
    <t>-0.129 a 0.188</t>
  </si>
  <si>
    <r>
      <t xml:space="preserve">Faixa Etária - </t>
    </r>
    <r>
      <rPr>
        <b/>
        <sz val="7"/>
        <color rgb="FFEE0000"/>
        <rFont val="Garamond"/>
        <family val="1"/>
      </rPr>
      <t>Masculina</t>
    </r>
  </si>
  <si>
    <t>0.0152</t>
  </si>
  <si>
    <t>0.0571</t>
  </si>
  <si>
    <t>0.0161</t>
  </si>
  <si>
    <t>0.1472</t>
  </si>
  <si>
    <t>0.0375</t>
  </si>
  <si>
    <t>0.0046</t>
  </si>
  <si>
    <t>0.0057</t>
  </si>
  <si>
    <t>0.0146</t>
  </si>
  <si>
    <t>0.0020</t>
  </si>
  <si>
    <t>0.0019</t>
  </si>
  <si>
    <t>0.2283</t>
  </si>
  <si>
    <t>0.0560</t>
  </si>
  <si>
    <t>0.0140</t>
  </si>
  <si>
    <t>0.0225</t>
  </si>
  <si>
    <t>0.0056</t>
  </si>
  <si>
    <t>0.0381</t>
  </si>
  <si>
    <t>0.0095</t>
  </si>
  <si>
    <t>0.0186</t>
  </si>
  <si>
    <t>0.0047</t>
  </si>
  <si>
    <t>0.0098</t>
  </si>
  <si>
    <t>0.0025</t>
  </si>
  <si>
    <t>0.0720</t>
  </si>
  <si>
    <t>0.0180</t>
  </si>
  <si>
    <t>0.0128</t>
  </si>
  <si>
    <t>0.0034</t>
  </si>
  <si>
    <t>0.0176</t>
  </si>
  <si>
    <t>0.0044</t>
  </si>
  <si>
    <t>0.0228</t>
  </si>
  <si>
    <t>0.0043</t>
  </si>
  <si>
    <t>0.0011</t>
  </si>
  <si>
    <t>0.2435</t>
  </si>
  <si>
    <t>0.1131</t>
  </si>
  <si>
    <t>0.0385</t>
  </si>
  <si>
    <t>0.1853</t>
  </si>
  <si>
    <t>0.0199</t>
  </si>
  <si>
    <t>0.0473</t>
  </si>
  <si>
    <t>0.0809</t>
  </si>
  <si>
    <t>0.0175</t>
  </si>
  <si>
    <t>0.0091</t>
  </si>
  <si>
    <t>0.0321</t>
  </si>
  <si>
    <t>0.0247</t>
  </si>
  <si>
    <t>0.0061</t>
  </si>
  <si>
    <t>0.2655</t>
  </si>
  <si>
    <t>p = 0.6352</t>
  </si>
  <si>
    <t>4.0823</t>
  </si>
  <si>
    <t>p = 0.1128</t>
  </si>
  <si>
    <t>2.8559</t>
  </si>
  <si>
    <t>p = 0.1656</t>
  </si>
  <si>
    <t>15.4616</t>
  </si>
  <si>
    <t>p = 0.0181</t>
  </si>
  <si>
    <t>0.2758</t>
  </si>
  <si>
    <t>p = 0.6291</t>
  </si>
  <si>
    <t>15.2375</t>
  </si>
  <si>
    <t>p = 0.0185</t>
  </si>
  <si>
    <t>0.4955</t>
  </si>
  <si>
    <t>p = 0.5237</t>
  </si>
  <si>
    <t>1.4457</t>
  </si>
  <si>
    <t>p = 0.2958</t>
  </si>
  <si>
    <t>6.6445</t>
  </si>
  <si>
    <t>p = 0.0614</t>
  </si>
  <si>
    <t>3.3163</t>
  </si>
  <si>
    <t>p = 0.1420</t>
  </si>
  <si>
    <t>0.3432</t>
  </si>
  <si>
    <t>p = 0.5922</t>
  </si>
  <si>
    <t>1.7295</t>
  </si>
  <si>
    <t>p = 0.2586</t>
  </si>
  <si>
    <t>2.1017</t>
  </si>
  <si>
    <t>4.3267</t>
  </si>
  <si>
    <t>6.3767</t>
  </si>
  <si>
    <t>1.7117</t>
  </si>
  <si>
    <t>3.8767</t>
  </si>
  <si>
    <t>5.8967</t>
  </si>
  <si>
    <t>1.7717</t>
  </si>
  <si>
    <t>3.8917</t>
  </si>
  <si>
    <t>5.7917</t>
  </si>
  <si>
    <t>1.7850</t>
  </si>
  <si>
    <t>4.0850</t>
  </si>
  <si>
    <t>6.0633</t>
  </si>
  <si>
    <t>0.0622</t>
  </si>
  <si>
    <t>0.5051</t>
  </si>
  <si>
    <t>0.4166</t>
  </si>
  <si>
    <t>0.7945</t>
  </si>
  <si>
    <t>0.0645</t>
  </si>
  <si>
    <t>0.7921</t>
  </si>
  <si>
    <t>0.1102</t>
  </si>
  <si>
    <t>0.6242</t>
  </si>
  <si>
    <t>0.4533</t>
  </si>
  <si>
    <t>0.0790</t>
  </si>
  <si>
    <t>0.3019</t>
  </si>
  <si>
    <t>-0.1722</t>
  </si>
  <si>
    <t>0.3814</t>
  </si>
  <si>
    <t>0.2707</t>
  </si>
  <si>
    <t>0.7431</t>
  </si>
  <si>
    <t>-0.1694</t>
  </si>
  <si>
    <t>0.7401</t>
  </si>
  <si>
    <t>-0.1122</t>
  </si>
  <si>
    <t>0.0818</t>
  </si>
  <si>
    <t>0.5303</t>
  </si>
  <si>
    <t>0.3166</t>
  </si>
  <si>
    <t>-0.1512</t>
  </si>
  <si>
    <t>0.1273</t>
  </si>
  <si>
    <t>0.2495</t>
  </si>
  <si>
    <t>0.7107</t>
  </si>
  <si>
    <t>0.6454</t>
  </si>
  <si>
    <t>0.8913</t>
  </si>
  <si>
    <t>0.2540</t>
  </si>
  <si>
    <t>0.8900</t>
  </si>
  <si>
    <t>0.3320</t>
  </si>
  <si>
    <t>0.5152</t>
  </si>
  <si>
    <t>0.7901</t>
  </si>
  <si>
    <t>0.6733</t>
  </si>
  <si>
    <t>0.2811</t>
  </si>
  <si>
    <t>0.5494</t>
  </si>
  <si>
    <t>1.9987</t>
  </si>
  <si>
    <t>t = 8.9860</t>
  </si>
  <si>
    <t>p = 0.0008</t>
  </si>
  <si>
    <t>4.1267</t>
  </si>
  <si>
    <t>t = 37.4668</t>
  </si>
  <si>
    <t>6.2707</t>
  </si>
  <si>
    <t>t = 89.8465</t>
  </si>
  <si>
    <t>1.3907</t>
  </si>
  <si>
    <t>t = 15.3097</t>
  </si>
  <si>
    <t>3.8467</t>
  </si>
  <si>
    <t>t = 60.5169</t>
  </si>
  <si>
    <t>5.7347</t>
  </si>
  <si>
    <t>t = 124.1860</t>
  </si>
  <si>
    <t>1.6927</t>
  </si>
  <si>
    <t>t = 13.5552</t>
  </si>
  <si>
    <t>3.9487</t>
  </si>
  <si>
    <t>t = 74.8583</t>
  </si>
  <si>
    <t>5.8547</t>
  </si>
  <si>
    <t>t = 215.2865</t>
  </si>
  <si>
    <t>1.6840</t>
  </si>
  <si>
    <t>t = 27.2880</t>
  </si>
  <si>
    <t>4.0480</t>
  </si>
  <si>
    <t>t = 57.6012</t>
  </si>
  <si>
    <t>6.0273</t>
  </si>
  <si>
    <t>t = 197.8840</t>
  </si>
  <si>
    <t>t = 0.5153</t>
  </si>
  <si>
    <t>p = 0.6335</t>
  </si>
  <si>
    <t>t = 2.0205</t>
  </si>
  <si>
    <t>p = 0.1134</t>
  </si>
  <si>
    <t>0.0303</t>
  </si>
  <si>
    <t>t = 1.6899</t>
  </si>
  <si>
    <t>p = 0.1662</t>
  </si>
  <si>
    <t>0.0917</t>
  </si>
  <si>
    <t>t = 3.9321</t>
  </si>
  <si>
    <t>p = 0.0170</t>
  </si>
  <si>
    <t>0.0086</t>
  </si>
  <si>
    <t>t = 0.5252</t>
  </si>
  <si>
    <t>p = 0.6272</t>
  </si>
  <si>
    <t>0.0463</t>
  </si>
  <si>
    <t>t = 3.9035</t>
  </si>
  <si>
    <t>p = 0.0175</t>
  </si>
  <si>
    <t>0.0226</t>
  </si>
  <si>
    <t>t = 0.7039</t>
  </si>
  <si>
    <t>p = 0.5203</t>
  </si>
  <si>
    <t>-0.0163</t>
  </si>
  <si>
    <t>t = -1.2024</t>
  </si>
  <si>
    <t>p = 0.2955</t>
  </si>
  <si>
    <t>-0.0180</t>
  </si>
  <si>
    <t>t = -2.5777</t>
  </si>
  <si>
    <t>0.0289</t>
  </si>
  <si>
    <t>t = 1.8211</t>
  </si>
  <si>
    <t>p = 0.1426</t>
  </si>
  <si>
    <t>0.0106</t>
  </si>
  <si>
    <t>t = 0.5858</t>
  </si>
  <si>
    <t>p = 0.5894</t>
  </si>
  <si>
    <t>0.0103</t>
  </si>
  <si>
    <t>t = 1.3151</t>
  </si>
  <si>
    <t>p = 0.2587</t>
  </si>
  <si>
    <t>1.381 a 2.616</t>
  </si>
  <si>
    <t>3.821 a 4.432</t>
  </si>
  <si>
    <t>6.077 a 6.464</t>
  </si>
  <si>
    <t>1.139 a 1.643</t>
  </si>
  <si>
    <t>3.670 a 4.023</t>
  </si>
  <si>
    <t>5.606 a 5.863</t>
  </si>
  <si>
    <t>1.346 a 2.039</t>
  </si>
  <si>
    <t>3.802 a 4.095</t>
  </si>
  <si>
    <t>5.779 a 5.930</t>
  </si>
  <si>
    <t>1.513 a 1.855</t>
  </si>
  <si>
    <t>3.853 a 4.243</t>
  </si>
  <si>
    <t>5.943 a 6.112</t>
  </si>
  <si>
    <t>-0.021 a 0.136</t>
  </si>
  <si>
    <t>-0.019 a 0.080</t>
  </si>
  <si>
    <t>0.027 a 0.156</t>
  </si>
  <si>
    <t>-0.037 a 0.054</t>
  </si>
  <si>
    <t>0.013 a 0.079</t>
  </si>
  <si>
    <t>-0.066 a 0.112</t>
  </si>
  <si>
    <t>-0.054 a 0.021</t>
  </si>
  <si>
    <t>-0.037 a 0.001</t>
  </si>
  <si>
    <t>-0.015 a 0.073</t>
  </si>
  <si>
    <t>-0.040 a 0.061</t>
  </si>
  <si>
    <t>-0.011 a 0.032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</si>
</sst>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Aptos Narrow"/>
      <family val="2"/>
      <scheme val="minor"/>
    </font>
    <font>
      <b/>
      <sz val="7"/>
      <color rgb="FF000000"/>
      <name val="Garamond"/>
      <family val="1"/>
    </font>
    <font>
      <b/>
      <sz val="7"/>
      <color theme="1"/>
      <name val="Garamond"/>
      <family val="1"/>
    </font>
    <font>
      <b/>
      <sz val="8"/>
      <color rgb="FF000000"/>
      <name val="Arial Nova"/>
      <family val="2"/>
    </font>
    <font>
      <b/>
      <sz val="8"/>
      <color rgb="FFFF0000"/>
      <name val="Arial Nova"/>
      <family val="2"/>
    </font>
    <font>
      <b/>
      <sz val="8"/>
      <color rgb="FF000000"/>
      <name val="Garamond"/>
      <family val="1"/>
    </font>
    <font>
      <b/>
      <sz val="8"/>
      <color rgb="FFFF0000"/>
      <name val="Garamond"/>
      <family val="1"/>
    </font>
    <font>
      <b/>
      <sz val="8"/>
      <color theme="1"/>
      <name val="Garamond"/>
      <family val="1"/>
    </font>
    <font>
      <b/>
      <sz val="8"/>
      <color theme="1"/>
      <name val="Arial Nova"/>
      <family val="2"/>
    </font>
    <font>
      <sz val="9"/>
      <color rgb="FF000000"/>
      <name val="Arial Nova"/>
      <family val="2"/>
    </font>
    <font>
      <sz val="9"/>
      <color theme="1"/>
      <name val="Arial Nova"/>
      <family val="2"/>
    </font>
    <font>
      <sz val="9.5"/>
      <color rgb="FF000000"/>
      <name val="Trebuchet MS"/>
      <family val="2"/>
    </font>
    <font>
      <b/>
      <sz val="7"/>
      <color rgb="FFEE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1D1D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/>
    <xf numFmtId="0" fontId="1" fillId="3" borderId="11" xfId="0" applyFont="1" applyFill="1" applyBorder="1" applyAlignment="1">
      <alignment horizontal="center" vertical="center" textRotation="90" wrapText="1"/>
    </xf>
    <xf numFmtId="0" fontId="1" fillId="3" borderId="9" xfId="0" applyFont="1" applyFill="1" applyBorder="1" applyAlignment="1">
      <alignment horizontal="center" vertical="center" wrapText="1"/>
    </xf>
    <xf numFmtId="2" fontId="1" fillId="3" borderId="9" xfId="0" applyNumberFormat="1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2" fontId="2" fillId="3" borderId="11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textRotation="90" wrapText="1"/>
    </xf>
    <xf numFmtId="0" fontId="2" fillId="3" borderId="14" xfId="0" applyFont="1" applyFill="1" applyBorder="1" applyAlignment="1">
      <alignment horizontal="center" vertical="center" wrapText="1"/>
    </xf>
    <xf numFmtId="2" fontId="2" fillId="3" borderId="14" xfId="0" applyNumberFormat="1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3" fontId="5" fillId="0" borderId="7" xfId="0" applyNumberFormat="1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textRotation="90" wrapText="1"/>
    </xf>
    <xf numFmtId="0" fontId="2" fillId="3" borderId="8" xfId="0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textRotation="90" wrapText="1"/>
    </xf>
    <xf numFmtId="0" fontId="1" fillId="5" borderId="9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164" fontId="2" fillId="5" borderId="13" xfId="0" applyNumberFormat="1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textRotation="90" wrapText="1"/>
    </xf>
    <xf numFmtId="0" fontId="2" fillId="5" borderId="14" xfId="0" applyFont="1" applyFill="1" applyBorder="1" applyAlignment="1">
      <alignment horizontal="center" vertical="center" wrapText="1"/>
    </xf>
    <xf numFmtId="164" fontId="2" fillId="5" borderId="15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textRotation="90" wrapText="1"/>
    </xf>
    <xf numFmtId="0" fontId="2" fillId="5" borderId="8" xfId="0" applyFont="1" applyFill="1" applyBorder="1" applyAlignment="1">
      <alignment horizontal="center" vertical="center" wrapText="1"/>
    </xf>
    <xf numFmtId="164" fontId="2" fillId="5" borderId="16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4" fontId="2" fillId="3" borderId="15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3" fontId="9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2" fillId="3" borderId="11" xfId="0" applyNumberFormat="1" applyFont="1" applyFill="1" applyBorder="1" applyAlignment="1">
      <alignment horizontal="center" vertical="center" wrapText="1"/>
    </xf>
    <xf numFmtId="165" fontId="2" fillId="3" borderId="14" xfId="0" applyNumberFormat="1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vertical="center" wrapText="1"/>
    </xf>
    <xf numFmtId="165" fontId="2" fillId="5" borderId="11" xfId="0" applyNumberFormat="1" applyFont="1" applyFill="1" applyBorder="1" applyAlignment="1">
      <alignment horizontal="center" vertical="center" wrapText="1"/>
    </xf>
    <xf numFmtId="165" fontId="2" fillId="5" borderId="14" xfId="0" applyNumberFormat="1" applyFont="1" applyFill="1" applyBorder="1" applyAlignment="1">
      <alignment horizontal="center" vertical="center" wrapText="1"/>
    </xf>
    <xf numFmtId="165" fontId="2" fillId="5" borderId="8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2" fontId="8" fillId="4" borderId="18" xfId="0" applyNumberFormat="1" applyFont="1" applyFill="1" applyBorder="1" applyAlignment="1">
      <alignment horizontal="center" vertical="center" wrapText="1"/>
    </xf>
    <xf numFmtId="165" fontId="1" fillId="3" borderId="11" xfId="0" applyNumberFormat="1" applyFont="1" applyFill="1" applyBorder="1" applyAlignment="1">
      <alignment horizontal="center" vertical="center" wrapText="1"/>
    </xf>
    <xf numFmtId="165" fontId="2" fillId="3" borderId="13" xfId="0" applyNumberFormat="1" applyFont="1" applyFill="1" applyBorder="1" applyAlignment="1">
      <alignment horizontal="center" vertical="center" wrapText="1"/>
    </xf>
    <xf numFmtId="2" fontId="8" fillId="4" borderId="19" xfId="0" applyNumberFormat="1" applyFont="1" applyFill="1" applyBorder="1" applyAlignment="1">
      <alignment horizontal="center" vertical="center" wrapText="1"/>
    </xf>
    <xf numFmtId="165" fontId="1" fillId="3" borderId="14" xfId="0" applyNumberFormat="1" applyFont="1" applyFill="1" applyBorder="1" applyAlignment="1">
      <alignment horizontal="center" vertical="center" wrapText="1"/>
    </xf>
    <xf numFmtId="165" fontId="2" fillId="3" borderId="15" xfId="0" applyNumberFormat="1" applyFont="1" applyFill="1" applyBorder="1" applyAlignment="1">
      <alignment horizontal="center" vertical="center" wrapText="1"/>
    </xf>
    <xf numFmtId="2" fontId="8" fillId="4" borderId="20" xfId="0" applyNumberFormat="1" applyFont="1" applyFill="1" applyBorder="1" applyAlignment="1">
      <alignment horizontal="center" vertical="center" wrapText="1"/>
    </xf>
    <xf numFmtId="165" fontId="1" fillId="3" borderId="8" xfId="0" applyNumberFormat="1" applyFont="1" applyFill="1" applyBorder="1" applyAlignment="1">
      <alignment horizontal="center" vertical="center" wrapText="1"/>
    </xf>
    <xf numFmtId="165" fontId="2" fillId="3" borderId="16" xfId="0" applyNumberFormat="1" applyFont="1" applyFill="1" applyBorder="1" applyAlignment="1">
      <alignment horizontal="center" vertical="center" wrapText="1"/>
    </xf>
    <xf numFmtId="165" fontId="2" fillId="5" borderId="13" xfId="0" applyNumberFormat="1" applyFont="1" applyFill="1" applyBorder="1" applyAlignment="1">
      <alignment horizontal="center" vertical="center" wrapText="1"/>
    </xf>
    <xf numFmtId="165" fontId="2" fillId="5" borderId="15" xfId="0" applyNumberFormat="1" applyFont="1" applyFill="1" applyBorder="1" applyAlignment="1">
      <alignment horizontal="center" vertical="center" wrapText="1"/>
    </xf>
    <xf numFmtId="165" fontId="2" fillId="5" borderId="1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635000</xdr:colOff>
      <xdr:row>19</xdr:row>
      <xdr:rowOff>8468</xdr:rowOff>
    </xdr:from>
    <xdr:to>
      <xdr:col>32</xdr:col>
      <xdr:colOff>287867</xdr:colOff>
      <xdr:row>31</xdr:row>
      <xdr:rowOff>71783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9BCC7F-FF50-4052-B1E2-C3BFF4D14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5500" y="3818468"/>
          <a:ext cx="2792307" cy="2364555"/>
        </a:xfrm>
        <a:prstGeom prst="rect">
          <a:avLst/>
        </a:prstGeom>
      </xdr:spPr>
    </xdr:pic>
    <xdr:clientData/>
  </xdr:twoCellAnchor>
  <xdr:twoCellAnchor editAs="oneCell">
    <xdr:from>
      <xdr:col>33</xdr:col>
      <xdr:colOff>516467</xdr:colOff>
      <xdr:row>19</xdr:row>
      <xdr:rowOff>25400</xdr:rowOff>
    </xdr:from>
    <xdr:to>
      <xdr:col>36</xdr:col>
      <xdr:colOff>220134</xdr:colOff>
      <xdr:row>31</xdr:row>
      <xdr:rowOff>110150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DE098D-825F-4877-AC2D-D859BAEB0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23627" y="3835400"/>
          <a:ext cx="2812627" cy="2385990"/>
        </a:xfrm>
        <a:prstGeom prst="rect">
          <a:avLst/>
        </a:prstGeom>
      </xdr:spPr>
    </xdr:pic>
    <xdr:clientData/>
  </xdr:twoCellAnchor>
  <xdr:twoCellAnchor editAs="oneCell">
    <xdr:from>
      <xdr:col>37</xdr:col>
      <xdr:colOff>702733</xdr:colOff>
      <xdr:row>19</xdr:row>
      <xdr:rowOff>42333</xdr:rowOff>
    </xdr:from>
    <xdr:to>
      <xdr:col>40</xdr:col>
      <xdr:colOff>347134</xdr:colOff>
      <xdr:row>31</xdr:row>
      <xdr:rowOff>91359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2B46639-E5E6-45A8-891C-9C630A74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50373" y="3852333"/>
          <a:ext cx="2768601" cy="2350266"/>
        </a:xfrm>
        <a:prstGeom prst="rect">
          <a:avLst/>
        </a:prstGeom>
      </xdr:spPr>
    </xdr:pic>
    <xdr:clientData/>
  </xdr:twoCellAnchor>
  <xdr:twoCellAnchor editAs="oneCell">
    <xdr:from>
      <xdr:col>41</xdr:col>
      <xdr:colOff>567267</xdr:colOff>
      <xdr:row>19</xdr:row>
      <xdr:rowOff>50800</xdr:rowOff>
    </xdr:from>
    <xdr:to>
      <xdr:col>44</xdr:col>
      <xdr:colOff>245534</xdr:colOff>
      <xdr:row>31</xdr:row>
      <xdr:rowOff>128406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4AA0D34-3A9B-4AFA-B239-D3ACF0073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31587" y="3860800"/>
          <a:ext cx="2810087" cy="2378846"/>
        </a:xfrm>
        <a:prstGeom prst="rect">
          <a:avLst/>
        </a:prstGeom>
      </xdr:spPr>
    </xdr:pic>
    <xdr:clientData/>
  </xdr:twoCellAnchor>
  <xdr:twoCellAnchor editAs="oneCell">
    <xdr:from>
      <xdr:col>45</xdr:col>
      <xdr:colOff>381000</xdr:colOff>
      <xdr:row>19</xdr:row>
      <xdr:rowOff>33867</xdr:rowOff>
    </xdr:from>
    <xdr:to>
      <xdr:col>48</xdr:col>
      <xdr:colOff>601133</xdr:colOff>
      <xdr:row>31</xdr:row>
      <xdr:rowOff>154341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EAD336B-52C0-479B-B426-FAA42AC77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86740" y="3843867"/>
          <a:ext cx="2856653" cy="2421714"/>
        </a:xfrm>
        <a:prstGeom prst="rect">
          <a:avLst/>
        </a:prstGeom>
      </xdr:spPr>
    </xdr:pic>
    <xdr:clientData/>
  </xdr:twoCellAnchor>
  <xdr:twoCellAnchor editAs="oneCell">
    <xdr:from>
      <xdr:col>49</xdr:col>
      <xdr:colOff>186267</xdr:colOff>
      <xdr:row>19</xdr:row>
      <xdr:rowOff>16934</xdr:rowOff>
    </xdr:from>
    <xdr:to>
      <xdr:col>52</xdr:col>
      <xdr:colOff>414867</xdr:colOff>
      <xdr:row>31</xdr:row>
      <xdr:rowOff>137408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C923677-BA64-4568-9617-634AEF06A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738127" y="3826934"/>
          <a:ext cx="2857500" cy="2421714"/>
        </a:xfrm>
        <a:prstGeom prst="rect">
          <a:avLst/>
        </a:prstGeom>
      </xdr:spPr>
    </xdr:pic>
    <xdr:clientData/>
  </xdr:twoCellAnchor>
  <xdr:twoCellAnchor editAs="oneCell">
    <xdr:from>
      <xdr:col>53</xdr:col>
      <xdr:colOff>313267</xdr:colOff>
      <xdr:row>19</xdr:row>
      <xdr:rowOff>50800</xdr:rowOff>
    </xdr:from>
    <xdr:to>
      <xdr:col>56</xdr:col>
      <xdr:colOff>213769</xdr:colOff>
      <xdr:row>31</xdr:row>
      <xdr:rowOff>101600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4C5DDD8-7A68-45F5-9EEB-F5B1447B9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103627" y="3860800"/>
          <a:ext cx="2780862" cy="2352040"/>
        </a:xfrm>
        <a:prstGeom prst="rect">
          <a:avLst/>
        </a:prstGeom>
      </xdr:spPr>
    </xdr:pic>
    <xdr:clientData/>
  </xdr:twoCellAnchor>
  <xdr:twoCellAnchor editAs="oneCell">
    <xdr:from>
      <xdr:col>57</xdr:col>
      <xdr:colOff>397934</xdr:colOff>
      <xdr:row>19</xdr:row>
      <xdr:rowOff>42333</xdr:rowOff>
    </xdr:from>
    <xdr:to>
      <xdr:col>60</xdr:col>
      <xdr:colOff>523269</xdr:colOff>
      <xdr:row>31</xdr:row>
      <xdr:rowOff>118533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CB618E0-F977-437D-84E6-566983D34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678254" y="3852333"/>
          <a:ext cx="2799955" cy="2377440"/>
        </a:xfrm>
        <a:prstGeom prst="rect">
          <a:avLst/>
        </a:prstGeom>
      </xdr:spPr>
    </xdr:pic>
    <xdr:clientData/>
  </xdr:twoCellAnchor>
  <xdr:twoCellAnchor editAs="oneCell">
    <xdr:from>
      <xdr:col>61</xdr:col>
      <xdr:colOff>355600</xdr:colOff>
      <xdr:row>19</xdr:row>
      <xdr:rowOff>42334</xdr:rowOff>
    </xdr:from>
    <xdr:to>
      <xdr:col>64</xdr:col>
      <xdr:colOff>457200</xdr:colOff>
      <xdr:row>31</xdr:row>
      <xdr:rowOff>141373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6A0BB4B-7108-4273-9006-7677A2924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920140" y="3852334"/>
          <a:ext cx="2837180" cy="2400279"/>
        </a:xfrm>
        <a:prstGeom prst="rect">
          <a:avLst/>
        </a:prstGeom>
      </xdr:spPr>
    </xdr:pic>
    <xdr:clientData/>
  </xdr:twoCellAnchor>
  <xdr:twoCellAnchor editAs="oneCell">
    <xdr:from>
      <xdr:col>65</xdr:col>
      <xdr:colOff>237067</xdr:colOff>
      <xdr:row>19</xdr:row>
      <xdr:rowOff>42334</xdr:rowOff>
    </xdr:from>
    <xdr:to>
      <xdr:col>68</xdr:col>
      <xdr:colOff>508000</xdr:colOff>
      <xdr:row>32</xdr:row>
      <xdr:rowOff>3267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129D3215-77D8-4ACD-916E-3E5F877A7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146787" y="3852334"/>
          <a:ext cx="2884593" cy="2445053"/>
        </a:xfrm>
        <a:prstGeom prst="rect">
          <a:avLst/>
        </a:prstGeom>
      </xdr:spPr>
    </xdr:pic>
    <xdr:clientData/>
  </xdr:twoCellAnchor>
  <xdr:twoCellAnchor editAs="oneCell">
    <xdr:from>
      <xdr:col>69</xdr:col>
      <xdr:colOff>397933</xdr:colOff>
      <xdr:row>19</xdr:row>
      <xdr:rowOff>84666</xdr:rowOff>
    </xdr:from>
    <xdr:to>
      <xdr:col>72</xdr:col>
      <xdr:colOff>516466</xdr:colOff>
      <xdr:row>31</xdr:row>
      <xdr:rowOff>133692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4C1906D-1503-49F0-A9AE-8F193DBC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530913" y="3894666"/>
          <a:ext cx="2777913" cy="2350266"/>
        </a:xfrm>
        <a:prstGeom prst="rect">
          <a:avLst/>
        </a:prstGeom>
      </xdr:spPr>
    </xdr:pic>
    <xdr:clientData/>
  </xdr:twoCellAnchor>
  <xdr:twoCellAnchor editAs="oneCell">
    <xdr:from>
      <xdr:col>73</xdr:col>
      <xdr:colOff>287867</xdr:colOff>
      <xdr:row>19</xdr:row>
      <xdr:rowOff>8468</xdr:rowOff>
    </xdr:from>
    <xdr:to>
      <xdr:col>76</xdr:col>
      <xdr:colOff>516467</xdr:colOff>
      <xdr:row>31</xdr:row>
      <xdr:rowOff>121797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8F25F9F-F858-4D59-B1D6-F3F0ED9A2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689827" y="3818468"/>
          <a:ext cx="2849880" cy="2414569"/>
        </a:xfrm>
        <a:prstGeom prst="rect">
          <a:avLst/>
        </a:prstGeom>
      </xdr:spPr>
    </xdr:pic>
    <xdr:clientData/>
  </xdr:twoCellAnchor>
  <xdr:twoCellAnchor editAs="oneCell">
    <xdr:from>
      <xdr:col>29</xdr:col>
      <xdr:colOff>364067</xdr:colOff>
      <xdr:row>53</xdr:row>
      <xdr:rowOff>118534</xdr:rowOff>
    </xdr:from>
    <xdr:to>
      <xdr:col>32</xdr:col>
      <xdr:colOff>16934</xdr:colOff>
      <xdr:row>65</xdr:row>
      <xdr:rowOff>181850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1CBCD744-7029-4B7D-94E6-D69DB51E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414567" y="10603654"/>
          <a:ext cx="2792307" cy="2364556"/>
        </a:xfrm>
        <a:prstGeom prst="rect">
          <a:avLst/>
        </a:prstGeom>
      </xdr:spPr>
    </xdr:pic>
    <xdr:clientData/>
  </xdr:twoCellAnchor>
  <xdr:twoCellAnchor editAs="oneCell">
    <xdr:from>
      <xdr:col>33</xdr:col>
      <xdr:colOff>618067</xdr:colOff>
      <xdr:row>53</xdr:row>
      <xdr:rowOff>25400</xdr:rowOff>
    </xdr:from>
    <xdr:to>
      <xdr:col>36</xdr:col>
      <xdr:colOff>321634</xdr:colOff>
      <xdr:row>65</xdr:row>
      <xdr:rowOff>110066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CEE1E09C-6EFA-4788-9D42-34BC13061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25227" y="10510520"/>
          <a:ext cx="2812527" cy="2385906"/>
        </a:xfrm>
        <a:prstGeom prst="rect">
          <a:avLst/>
        </a:prstGeom>
      </xdr:spPr>
    </xdr:pic>
    <xdr:clientData/>
  </xdr:twoCellAnchor>
  <xdr:twoCellAnchor editAs="oneCell">
    <xdr:from>
      <xdr:col>37</xdr:col>
      <xdr:colOff>423334</xdr:colOff>
      <xdr:row>53</xdr:row>
      <xdr:rowOff>42334</xdr:rowOff>
    </xdr:from>
    <xdr:to>
      <xdr:col>40</xdr:col>
      <xdr:colOff>170166</xdr:colOff>
      <xdr:row>65</xdr:row>
      <xdr:rowOff>177799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4E940FD1-6710-4C2E-8F79-5085A8DFA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70974" y="10527454"/>
          <a:ext cx="2871032" cy="2436705"/>
        </a:xfrm>
        <a:prstGeom prst="rect">
          <a:avLst/>
        </a:prstGeom>
      </xdr:spPr>
    </xdr:pic>
    <xdr:clientData/>
  </xdr:twoCellAnchor>
  <xdr:twoCellAnchor editAs="oneCell">
    <xdr:from>
      <xdr:col>41</xdr:col>
      <xdr:colOff>609600</xdr:colOff>
      <xdr:row>53</xdr:row>
      <xdr:rowOff>93133</xdr:rowOff>
    </xdr:from>
    <xdr:to>
      <xdr:col>44</xdr:col>
      <xdr:colOff>169333</xdr:colOff>
      <xdr:row>65</xdr:row>
      <xdr:rowOff>70711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C15A1860-B3D7-4798-88CE-7036D98FE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173920" y="10578253"/>
          <a:ext cx="2691553" cy="2278818"/>
        </a:xfrm>
        <a:prstGeom prst="rect">
          <a:avLst/>
        </a:prstGeom>
      </xdr:spPr>
    </xdr:pic>
    <xdr:clientData/>
  </xdr:twoCellAnchor>
  <xdr:twoCellAnchor editAs="oneCell">
    <xdr:from>
      <xdr:col>45</xdr:col>
      <xdr:colOff>372533</xdr:colOff>
      <xdr:row>53</xdr:row>
      <xdr:rowOff>59267</xdr:rowOff>
    </xdr:from>
    <xdr:to>
      <xdr:col>48</xdr:col>
      <xdr:colOff>524933</xdr:colOff>
      <xdr:row>65</xdr:row>
      <xdr:rowOff>122583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89E3406-A770-4955-8BB2-59A79EA76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678273" y="10544387"/>
          <a:ext cx="2788920" cy="2364556"/>
        </a:xfrm>
        <a:prstGeom prst="rect">
          <a:avLst/>
        </a:prstGeom>
      </xdr:spPr>
    </xdr:pic>
    <xdr:clientData/>
  </xdr:twoCellAnchor>
  <xdr:twoCellAnchor editAs="oneCell">
    <xdr:from>
      <xdr:col>49</xdr:col>
      <xdr:colOff>254000</xdr:colOff>
      <xdr:row>53</xdr:row>
      <xdr:rowOff>25400</xdr:rowOff>
    </xdr:from>
    <xdr:to>
      <xdr:col>52</xdr:col>
      <xdr:colOff>448734</xdr:colOff>
      <xdr:row>65</xdr:row>
      <xdr:rowOff>117295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1B80463A-3F78-4FE1-BCC6-830A33105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805860" y="10510520"/>
          <a:ext cx="2823634" cy="2393135"/>
        </a:xfrm>
        <a:prstGeom prst="rect">
          <a:avLst/>
        </a:prstGeom>
      </xdr:spPr>
    </xdr:pic>
    <xdr:clientData/>
  </xdr:twoCellAnchor>
  <xdr:twoCellAnchor editAs="oneCell">
    <xdr:from>
      <xdr:col>53</xdr:col>
      <xdr:colOff>465667</xdr:colOff>
      <xdr:row>53</xdr:row>
      <xdr:rowOff>76200</xdr:rowOff>
    </xdr:from>
    <xdr:to>
      <xdr:col>56</xdr:col>
      <xdr:colOff>336070</xdr:colOff>
      <xdr:row>65</xdr:row>
      <xdr:rowOff>101600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4C56BFDD-E104-4C64-B419-0DC7ADC7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5256027" y="10561320"/>
          <a:ext cx="2750763" cy="2326640"/>
        </a:xfrm>
        <a:prstGeom prst="rect">
          <a:avLst/>
        </a:prstGeom>
      </xdr:spPr>
    </xdr:pic>
    <xdr:clientData/>
  </xdr:twoCellAnchor>
  <xdr:twoCellAnchor editAs="oneCell">
    <xdr:from>
      <xdr:col>57</xdr:col>
      <xdr:colOff>270933</xdr:colOff>
      <xdr:row>53</xdr:row>
      <xdr:rowOff>16933</xdr:rowOff>
    </xdr:from>
    <xdr:to>
      <xdr:col>60</xdr:col>
      <xdr:colOff>448733</xdr:colOff>
      <xdr:row>65</xdr:row>
      <xdr:rowOff>137407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9FDE07A3-9B6E-4FFF-9E81-449F55C7E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551253" y="10502053"/>
          <a:ext cx="2852420" cy="2421714"/>
        </a:xfrm>
        <a:prstGeom prst="rect">
          <a:avLst/>
        </a:prstGeom>
      </xdr:spPr>
    </xdr:pic>
    <xdr:clientData/>
  </xdr:twoCellAnchor>
  <xdr:twoCellAnchor editAs="oneCell">
    <xdr:from>
      <xdr:col>61</xdr:col>
      <xdr:colOff>397934</xdr:colOff>
      <xdr:row>53</xdr:row>
      <xdr:rowOff>59267</xdr:rowOff>
    </xdr:from>
    <xdr:to>
      <xdr:col>64</xdr:col>
      <xdr:colOff>524935</xdr:colOff>
      <xdr:row>65</xdr:row>
      <xdr:rowOff>179742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C4ED3772-67CE-4B9A-A021-8C31C97B0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1962474" y="10544387"/>
          <a:ext cx="2862581" cy="2421715"/>
        </a:xfrm>
        <a:prstGeom prst="rect">
          <a:avLst/>
        </a:prstGeom>
      </xdr:spPr>
    </xdr:pic>
    <xdr:clientData/>
  </xdr:twoCellAnchor>
  <xdr:twoCellAnchor editAs="oneCell">
    <xdr:from>
      <xdr:col>65</xdr:col>
      <xdr:colOff>194734</xdr:colOff>
      <xdr:row>53</xdr:row>
      <xdr:rowOff>33867</xdr:rowOff>
    </xdr:from>
    <xdr:to>
      <xdr:col>68</xdr:col>
      <xdr:colOff>440267</xdr:colOff>
      <xdr:row>65</xdr:row>
      <xdr:rowOff>154341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B777005-CEB4-45BC-9635-8B4F59C90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104454" y="10518987"/>
          <a:ext cx="2859193" cy="2421714"/>
        </a:xfrm>
        <a:prstGeom prst="rect">
          <a:avLst/>
        </a:prstGeom>
      </xdr:spPr>
    </xdr:pic>
    <xdr:clientData/>
  </xdr:twoCellAnchor>
  <xdr:twoCellAnchor editAs="oneCell">
    <xdr:from>
      <xdr:col>69</xdr:col>
      <xdr:colOff>220133</xdr:colOff>
      <xdr:row>53</xdr:row>
      <xdr:rowOff>50800</xdr:rowOff>
    </xdr:from>
    <xdr:to>
      <xdr:col>72</xdr:col>
      <xdr:colOff>440266</xdr:colOff>
      <xdr:row>65</xdr:row>
      <xdr:rowOff>185564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545F821C-B300-4259-8A01-6CB6F2528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353113" y="10535920"/>
          <a:ext cx="2879513" cy="2436004"/>
        </a:xfrm>
        <a:prstGeom prst="rect">
          <a:avLst/>
        </a:prstGeom>
      </xdr:spPr>
    </xdr:pic>
    <xdr:clientData/>
  </xdr:twoCellAnchor>
  <xdr:twoCellAnchor editAs="oneCell">
    <xdr:from>
      <xdr:col>73</xdr:col>
      <xdr:colOff>186266</xdr:colOff>
      <xdr:row>53</xdr:row>
      <xdr:rowOff>16934</xdr:rowOff>
    </xdr:from>
    <xdr:to>
      <xdr:col>76</xdr:col>
      <xdr:colOff>406400</xdr:colOff>
      <xdr:row>65</xdr:row>
      <xdr:rowOff>123118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7537F6C-9B83-416F-AB29-47B9D503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1588226" y="10502054"/>
          <a:ext cx="2841414" cy="2407424"/>
        </a:xfrm>
        <a:prstGeom prst="rect">
          <a:avLst/>
        </a:prstGeom>
      </xdr:spPr>
    </xdr:pic>
    <xdr:clientData/>
  </xdr:twoCellAnchor>
  <xdr:twoCellAnchor editAs="oneCell">
    <xdr:from>
      <xdr:col>29</xdr:col>
      <xdr:colOff>592667</xdr:colOff>
      <xdr:row>86</xdr:row>
      <xdr:rowOff>42333</xdr:rowOff>
    </xdr:from>
    <xdr:to>
      <xdr:col>32</xdr:col>
      <xdr:colOff>313267</xdr:colOff>
      <xdr:row>98</xdr:row>
      <xdr:rowOff>162807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7D85FD54-BCEF-4493-B17F-1F37C3EA1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3643167" y="16951113"/>
          <a:ext cx="2860040" cy="2375994"/>
        </a:xfrm>
        <a:prstGeom prst="rect">
          <a:avLst/>
        </a:prstGeom>
      </xdr:spPr>
    </xdr:pic>
    <xdr:clientData/>
  </xdr:twoCellAnchor>
  <xdr:twoCellAnchor editAs="oneCell">
    <xdr:from>
      <xdr:col>33</xdr:col>
      <xdr:colOff>389466</xdr:colOff>
      <xdr:row>86</xdr:row>
      <xdr:rowOff>33868</xdr:rowOff>
    </xdr:from>
    <xdr:to>
      <xdr:col>36</xdr:col>
      <xdr:colOff>127000</xdr:colOff>
      <xdr:row>98</xdr:row>
      <xdr:rowOff>147197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52E7605-69D3-4653-BA88-AA1AFA9C2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196626" y="16942648"/>
          <a:ext cx="2846494" cy="2368849"/>
        </a:xfrm>
        <a:prstGeom prst="rect">
          <a:avLst/>
        </a:prstGeom>
      </xdr:spPr>
    </xdr:pic>
    <xdr:clientData/>
  </xdr:twoCellAnchor>
  <xdr:twoCellAnchor editAs="oneCell">
    <xdr:from>
      <xdr:col>37</xdr:col>
      <xdr:colOff>643467</xdr:colOff>
      <xdr:row>86</xdr:row>
      <xdr:rowOff>59268</xdr:rowOff>
    </xdr:from>
    <xdr:to>
      <xdr:col>40</xdr:col>
      <xdr:colOff>321734</xdr:colOff>
      <xdr:row>98</xdr:row>
      <xdr:rowOff>136873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33252A33-FCCE-45C2-AB93-ED2685899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291107" y="16968048"/>
          <a:ext cx="2802467" cy="2333125"/>
        </a:xfrm>
        <a:prstGeom prst="rect">
          <a:avLst/>
        </a:prstGeom>
      </xdr:spPr>
    </xdr:pic>
    <xdr:clientData/>
  </xdr:twoCellAnchor>
  <xdr:twoCellAnchor editAs="oneCell">
    <xdr:from>
      <xdr:col>41</xdr:col>
      <xdr:colOff>533400</xdr:colOff>
      <xdr:row>86</xdr:row>
      <xdr:rowOff>59268</xdr:rowOff>
    </xdr:from>
    <xdr:to>
      <xdr:col>44</xdr:col>
      <xdr:colOff>237066</xdr:colOff>
      <xdr:row>98</xdr:row>
      <xdr:rowOff>158307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1AD23295-8613-4C42-B16B-E31E679E6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5097720" y="16968048"/>
          <a:ext cx="2835486" cy="2354559"/>
        </a:xfrm>
        <a:prstGeom prst="rect">
          <a:avLst/>
        </a:prstGeom>
      </xdr:spPr>
    </xdr:pic>
    <xdr:clientData/>
  </xdr:twoCellAnchor>
  <xdr:twoCellAnchor editAs="oneCell">
    <xdr:from>
      <xdr:col>45</xdr:col>
      <xdr:colOff>321198</xdr:colOff>
      <xdr:row>86</xdr:row>
      <xdr:rowOff>16933</xdr:rowOff>
    </xdr:from>
    <xdr:to>
      <xdr:col>48</xdr:col>
      <xdr:colOff>448734</xdr:colOff>
      <xdr:row>98</xdr:row>
      <xdr:rowOff>59267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B32B91F-78BC-4308-92A7-A7BC2A2D6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626938" y="16925713"/>
          <a:ext cx="2764056" cy="2297854"/>
        </a:xfrm>
        <a:prstGeom prst="rect">
          <a:avLst/>
        </a:prstGeom>
      </xdr:spPr>
    </xdr:pic>
    <xdr:clientData/>
  </xdr:twoCellAnchor>
  <xdr:twoCellAnchor editAs="oneCell">
    <xdr:from>
      <xdr:col>49</xdr:col>
      <xdr:colOff>220133</xdr:colOff>
      <xdr:row>86</xdr:row>
      <xdr:rowOff>25401</xdr:rowOff>
    </xdr:from>
    <xdr:to>
      <xdr:col>52</xdr:col>
      <xdr:colOff>457200</xdr:colOff>
      <xdr:row>98</xdr:row>
      <xdr:rowOff>153020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59E9329-A1BB-4547-8002-945E43F45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1771993" y="16934181"/>
          <a:ext cx="2865967" cy="2383139"/>
        </a:xfrm>
        <a:prstGeom prst="rect">
          <a:avLst/>
        </a:prstGeom>
      </xdr:spPr>
    </xdr:pic>
    <xdr:clientData/>
  </xdr:twoCellAnchor>
  <xdr:twoCellAnchor editAs="oneCell">
    <xdr:from>
      <xdr:col>53</xdr:col>
      <xdr:colOff>567268</xdr:colOff>
      <xdr:row>86</xdr:row>
      <xdr:rowOff>42334</xdr:rowOff>
    </xdr:from>
    <xdr:to>
      <xdr:col>56</xdr:col>
      <xdr:colOff>507901</xdr:colOff>
      <xdr:row>98</xdr:row>
      <xdr:rowOff>127000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8695FEC7-CC78-4794-93D7-7786F0D8A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5357628" y="16951114"/>
          <a:ext cx="2820993" cy="2340186"/>
        </a:xfrm>
        <a:prstGeom prst="rect">
          <a:avLst/>
        </a:prstGeom>
      </xdr:spPr>
    </xdr:pic>
    <xdr:clientData/>
  </xdr:twoCellAnchor>
  <xdr:twoCellAnchor editAs="oneCell">
    <xdr:from>
      <xdr:col>57</xdr:col>
      <xdr:colOff>338666</xdr:colOff>
      <xdr:row>86</xdr:row>
      <xdr:rowOff>25400</xdr:rowOff>
    </xdr:from>
    <xdr:to>
      <xdr:col>60</xdr:col>
      <xdr:colOff>482599</xdr:colOff>
      <xdr:row>98</xdr:row>
      <xdr:rowOff>117294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890A0A1A-D122-4D4D-8E39-61177E46C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8618986" y="16934180"/>
          <a:ext cx="2818553" cy="2347414"/>
        </a:xfrm>
        <a:prstGeom prst="rect">
          <a:avLst/>
        </a:prstGeom>
      </xdr:spPr>
    </xdr:pic>
    <xdr:clientData/>
  </xdr:twoCellAnchor>
  <xdr:twoCellAnchor editAs="oneCell">
    <xdr:from>
      <xdr:col>61</xdr:col>
      <xdr:colOff>321734</xdr:colOff>
      <xdr:row>86</xdr:row>
      <xdr:rowOff>25401</xdr:rowOff>
    </xdr:from>
    <xdr:to>
      <xdr:col>64</xdr:col>
      <xdr:colOff>457201</xdr:colOff>
      <xdr:row>98</xdr:row>
      <xdr:rowOff>153020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3C4F3C73-F3C2-41E6-B367-554A92B62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1886274" y="16934181"/>
          <a:ext cx="2871047" cy="2383139"/>
        </a:xfrm>
        <a:prstGeom prst="rect">
          <a:avLst/>
        </a:prstGeom>
      </xdr:spPr>
    </xdr:pic>
    <xdr:clientData/>
  </xdr:twoCellAnchor>
  <xdr:twoCellAnchor editAs="oneCell">
    <xdr:from>
      <xdr:col>65</xdr:col>
      <xdr:colOff>194733</xdr:colOff>
      <xdr:row>86</xdr:row>
      <xdr:rowOff>16934</xdr:rowOff>
    </xdr:from>
    <xdr:to>
      <xdr:col>68</xdr:col>
      <xdr:colOff>465667</xdr:colOff>
      <xdr:row>98</xdr:row>
      <xdr:rowOff>158843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F1064DE1-C997-4421-94FC-3122DB7E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104453" y="16925714"/>
          <a:ext cx="2884594" cy="2397429"/>
        </a:xfrm>
        <a:prstGeom prst="rect">
          <a:avLst/>
        </a:prstGeom>
      </xdr:spPr>
    </xdr:pic>
    <xdr:clientData/>
  </xdr:twoCellAnchor>
  <xdr:twoCellAnchor editAs="oneCell">
    <xdr:from>
      <xdr:col>69</xdr:col>
      <xdr:colOff>237067</xdr:colOff>
      <xdr:row>86</xdr:row>
      <xdr:rowOff>42334</xdr:rowOff>
    </xdr:from>
    <xdr:to>
      <xdr:col>72</xdr:col>
      <xdr:colOff>448733</xdr:colOff>
      <xdr:row>98</xdr:row>
      <xdr:rowOff>169953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C6D847E0-276E-4F53-85D8-995236535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8370047" y="16951114"/>
          <a:ext cx="2871046" cy="2383139"/>
        </a:xfrm>
        <a:prstGeom prst="rect">
          <a:avLst/>
        </a:prstGeom>
      </xdr:spPr>
    </xdr:pic>
    <xdr:clientData/>
  </xdr:twoCellAnchor>
  <xdr:twoCellAnchor editAs="oneCell">
    <xdr:from>
      <xdr:col>73</xdr:col>
      <xdr:colOff>126999</xdr:colOff>
      <xdr:row>86</xdr:row>
      <xdr:rowOff>25400</xdr:rowOff>
    </xdr:from>
    <xdr:to>
      <xdr:col>76</xdr:col>
      <xdr:colOff>389466</xdr:colOff>
      <xdr:row>98</xdr:row>
      <xdr:rowOff>167308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75D30452-4E5C-46AF-8100-28C33E395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1528959" y="16934180"/>
          <a:ext cx="2883747" cy="2397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CD05-87D3-4F96-A628-8E1EC08123FD}">
  <dimension ref="A1:BY96"/>
  <sheetViews>
    <sheetView tabSelected="1" zoomScale="90" zoomScaleNormal="90" workbookViewId="0">
      <selection activeCell="K70" sqref="K70:K93"/>
    </sheetView>
  </sheetViews>
  <sheetFormatPr defaultRowHeight="14.4" x14ac:dyDescent="0.3"/>
  <cols>
    <col min="3" max="3" width="12.109375" customWidth="1"/>
    <col min="5" max="5" width="15.33203125" customWidth="1"/>
    <col min="7" max="7" width="10.88671875" customWidth="1"/>
    <col min="8" max="8" width="13" customWidth="1"/>
    <col min="9" max="9" width="10.109375" customWidth="1"/>
    <col min="11" max="11" width="15.33203125" customWidth="1"/>
    <col min="13" max="13" width="12.5546875" customWidth="1"/>
    <col min="15" max="16" width="14.33203125" customWidth="1"/>
    <col min="19" max="19" width="13" customWidth="1"/>
    <col min="21" max="21" width="15.88671875" customWidth="1"/>
    <col min="23" max="23" width="12.5546875" customWidth="1"/>
    <col min="24" max="25" width="12.88671875" customWidth="1"/>
    <col min="26" max="27" width="16.5546875" customWidth="1"/>
    <col min="29" max="29" width="11.109375" customWidth="1"/>
    <col min="30" max="30" width="25.44140625" customWidth="1"/>
    <col min="31" max="31" width="11.44140625" customWidth="1"/>
    <col min="33" max="33" width="9" customWidth="1"/>
    <col min="34" max="34" width="20.33203125" customWidth="1"/>
    <col min="35" max="35" width="16.109375" customWidth="1"/>
    <col min="37" max="37" width="10.6640625" customWidth="1"/>
    <col min="38" max="38" width="22.6640625" customWidth="1"/>
    <col min="39" max="39" width="14" customWidth="1"/>
    <col min="41" max="41" width="11.5546875" customWidth="1"/>
    <col min="42" max="42" width="20.44140625" customWidth="1"/>
    <col min="43" max="43" width="16.33203125" customWidth="1"/>
    <col min="46" max="46" width="20.6640625" customWidth="1"/>
    <col min="50" max="50" width="20.5546875" customWidth="1"/>
    <col min="54" max="54" width="21.109375" customWidth="1"/>
    <col min="55" max="55" width="12" customWidth="1"/>
    <col min="58" max="58" width="20.44140625" customWidth="1"/>
    <col min="59" max="59" width="9.6640625" customWidth="1"/>
    <col min="62" max="62" width="20.6640625" customWidth="1"/>
    <col min="63" max="63" width="10.33203125" customWidth="1"/>
    <col min="66" max="66" width="19.109375" customWidth="1"/>
    <col min="67" max="67" width="10.109375" customWidth="1"/>
    <col min="70" max="70" width="21" customWidth="1"/>
    <col min="74" max="74" width="20.44140625" customWidth="1"/>
  </cols>
  <sheetData>
    <row r="1" spans="1:77" ht="15" thickBot="1" x14ac:dyDescent="0.35">
      <c r="A1" s="1" t="s">
        <v>0</v>
      </c>
      <c r="B1" s="2"/>
      <c r="C1" s="3"/>
      <c r="D1" s="1" t="s">
        <v>1</v>
      </c>
      <c r="E1" s="4"/>
      <c r="F1" s="4"/>
      <c r="G1" s="4"/>
      <c r="H1" s="4"/>
      <c r="I1" s="4"/>
      <c r="J1" s="4"/>
      <c r="K1" s="2"/>
      <c r="L1" s="3"/>
      <c r="M1" s="1" t="s">
        <v>2</v>
      </c>
      <c r="N1" s="4"/>
      <c r="O1" s="4"/>
      <c r="P1" s="4"/>
      <c r="Q1" s="4"/>
      <c r="R1" s="4"/>
      <c r="S1" s="4"/>
      <c r="T1" s="2"/>
      <c r="U1" s="3"/>
      <c r="V1" s="1" t="s">
        <v>3</v>
      </c>
      <c r="W1" s="4"/>
      <c r="X1" s="4"/>
      <c r="Y1" s="4"/>
      <c r="Z1" s="4"/>
      <c r="AA1" s="4"/>
      <c r="AB1" s="4"/>
      <c r="AC1" s="4"/>
      <c r="AD1" s="5" t="s">
        <v>4</v>
      </c>
      <c r="AE1" s="6"/>
      <c r="AF1" s="6"/>
      <c r="AG1" s="7"/>
      <c r="AH1" s="5" t="s">
        <v>5</v>
      </c>
      <c r="AI1" s="6"/>
      <c r="AJ1" s="6"/>
      <c r="AK1" s="7"/>
      <c r="AL1" s="5" t="s">
        <v>6</v>
      </c>
      <c r="AM1" s="6"/>
      <c r="AN1" s="6"/>
      <c r="AO1" s="7"/>
      <c r="AP1" s="8" t="s">
        <v>7</v>
      </c>
      <c r="AQ1" s="8"/>
      <c r="AR1" s="8"/>
      <c r="AS1" s="8"/>
      <c r="AT1" s="8" t="s">
        <v>8</v>
      </c>
      <c r="AU1" s="8"/>
      <c r="AV1" s="8"/>
      <c r="AW1" s="8"/>
      <c r="AX1" s="8" t="s">
        <v>9</v>
      </c>
      <c r="AY1" s="8"/>
      <c r="AZ1" s="8"/>
      <c r="BA1" s="8"/>
      <c r="BB1" s="8" t="s">
        <v>10</v>
      </c>
      <c r="BC1" s="8"/>
      <c r="BD1" s="8"/>
      <c r="BE1" s="8"/>
      <c r="BF1" s="8" t="s">
        <v>11</v>
      </c>
      <c r="BG1" s="8"/>
      <c r="BH1" s="8"/>
      <c r="BI1" s="8"/>
      <c r="BJ1" s="8" t="s">
        <v>12</v>
      </c>
      <c r="BK1" s="8"/>
      <c r="BL1" s="8"/>
      <c r="BM1" s="8"/>
      <c r="BN1" s="8" t="s">
        <v>13</v>
      </c>
      <c r="BO1" s="8"/>
      <c r="BP1" s="8"/>
      <c r="BQ1" s="8"/>
      <c r="BR1" s="8" t="s">
        <v>14</v>
      </c>
      <c r="BS1" s="8"/>
      <c r="BT1" s="8"/>
      <c r="BU1" s="8"/>
      <c r="BV1" s="8" t="s">
        <v>15</v>
      </c>
      <c r="BW1" s="8"/>
      <c r="BX1" s="8"/>
      <c r="BY1" s="8"/>
    </row>
    <row r="2" spans="1:77" ht="19.8" thickBot="1" x14ac:dyDescent="0.35">
      <c r="A2" s="9" t="s">
        <v>16</v>
      </c>
      <c r="B2" s="10" t="s">
        <v>17</v>
      </c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18</v>
      </c>
      <c r="V2" s="10" t="s">
        <v>19</v>
      </c>
      <c r="W2" s="10" t="s">
        <v>20</v>
      </c>
      <c r="X2" s="10" t="s">
        <v>21</v>
      </c>
      <c r="Y2" s="10"/>
      <c r="Z2" s="10" t="s">
        <v>23</v>
      </c>
      <c r="AA2" s="10" t="s">
        <v>24</v>
      </c>
      <c r="AB2" s="10" t="s">
        <v>25</v>
      </c>
      <c r="AC2" s="11" t="s">
        <v>26</v>
      </c>
      <c r="AD2" s="12" t="s">
        <v>28</v>
      </c>
      <c r="AE2" s="13" t="s">
        <v>29</v>
      </c>
      <c r="AF2" s="13" t="s">
        <v>30</v>
      </c>
      <c r="AG2" s="13" t="s">
        <v>31</v>
      </c>
      <c r="AH2" s="13" t="s">
        <v>28</v>
      </c>
      <c r="AI2" s="13" t="s">
        <v>29</v>
      </c>
      <c r="AJ2" s="13" t="s">
        <v>30</v>
      </c>
      <c r="AK2" s="13" t="s">
        <v>31</v>
      </c>
      <c r="AL2" s="13" t="s">
        <v>28</v>
      </c>
      <c r="AM2" s="12" t="s">
        <v>29</v>
      </c>
      <c r="AN2" s="12" t="s">
        <v>30</v>
      </c>
      <c r="AO2" s="12" t="s">
        <v>31</v>
      </c>
      <c r="AP2" s="12" t="s">
        <v>28</v>
      </c>
      <c r="AQ2" s="12" t="s">
        <v>29</v>
      </c>
      <c r="AR2" s="12" t="s">
        <v>30</v>
      </c>
      <c r="AS2" s="13" t="s">
        <v>31</v>
      </c>
      <c r="AT2" s="13" t="s">
        <v>28</v>
      </c>
      <c r="AU2" s="13" t="s">
        <v>29</v>
      </c>
      <c r="AV2" s="13" t="s">
        <v>30</v>
      </c>
      <c r="AW2" s="13" t="s">
        <v>31</v>
      </c>
      <c r="AX2" s="13" t="s">
        <v>28</v>
      </c>
      <c r="AY2" s="13" t="s">
        <v>29</v>
      </c>
      <c r="AZ2" s="13" t="s">
        <v>30</v>
      </c>
      <c r="BA2" s="13" t="s">
        <v>31</v>
      </c>
      <c r="BB2" s="13" t="s">
        <v>28</v>
      </c>
      <c r="BC2" s="13" t="s">
        <v>29</v>
      </c>
      <c r="BD2" s="13" t="s">
        <v>30</v>
      </c>
      <c r="BE2" s="13" t="s">
        <v>31</v>
      </c>
      <c r="BF2" s="13" t="s">
        <v>28</v>
      </c>
      <c r="BG2" s="13" t="s">
        <v>29</v>
      </c>
      <c r="BH2" s="13" t="s">
        <v>30</v>
      </c>
      <c r="BI2" s="13" t="s">
        <v>31</v>
      </c>
      <c r="BJ2" s="13" t="s">
        <v>28</v>
      </c>
      <c r="BK2" s="13" t="s">
        <v>29</v>
      </c>
      <c r="BL2" s="13" t="s">
        <v>30</v>
      </c>
      <c r="BM2" s="13" t="s">
        <v>31</v>
      </c>
      <c r="BN2" s="13" t="s">
        <v>28</v>
      </c>
      <c r="BO2" s="13" t="s">
        <v>29</v>
      </c>
      <c r="BP2" s="13" t="s">
        <v>30</v>
      </c>
      <c r="BQ2" s="13" t="s">
        <v>31</v>
      </c>
      <c r="BR2" s="13" t="s">
        <v>28</v>
      </c>
      <c r="BS2" s="13" t="s">
        <v>29</v>
      </c>
      <c r="BT2" s="13" t="s">
        <v>30</v>
      </c>
      <c r="BU2" s="13" t="s">
        <v>31</v>
      </c>
      <c r="BV2" s="13" t="s">
        <v>28</v>
      </c>
      <c r="BW2" s="13" t="s">
        <v>29</v>
      </c>
      <c r="BX2" s="13" t="s">
        <v>30</v>
      </c>
      <c r="BY2" s="13" t="s">
        <v>31</v>
      </c>
    </row>
    <row r="3" spans="1:77" ht="15.6" thickTop="1" thickBot="1" x14ac:dyDescent="0.35">
      <c r="A3" s="14" t="s">
        <v>32</v>
      </c>
      <c r="B3" s="15">
        <v>2016</v>
      </c>
      <c r="C3" s="15">
        <v>3870870</v>
      </c>
      <c r="D3" s="15">
        <v>511</v>
      </c>
      <c r="E3" s="16">
        <f>(D3/C3)*100000</f>
        <v>13.201166662791568</v>
      </c>
      <c r="F3" s="17">
        <f>LN(E3)</f>
        <v>2.5803052092315455</v>
      </c>
      <c r="G3" s="18">
        <v>6.9699999999999998E-2</v>
      </c>
      <c r="H3" s="19">
        <f>(EXP(G3)-1)*100</f>
        <v>7.2186477057882392</v>
      </c>
      <c r="I3" s="20">
        <f>(EXP(0.032) - 1) * 100</f>
        <v>3.2517505305118322</v>
      </c>
      <c r="J3" s="20">
        <f>(EXP(0.107) - 1) * 100</f>
        <v>11.29342544793257</v>
      </c>
      <c r="K3" s="18">
        <v>6.7000000000000002E-3</v>
      </c>
      <c r="L3" s="15">
        <v>1968789</v>
      </c>
      <c r="M3" s="15">
        <v>317</v>
      </c>
      <c r="N3" s="16">
        <f>(M3/L3)*100000</f>
        <v>16.101268343128694</v>
      </c>
      <c r="O3" s="17">
        <f>LN(N3)</f>
        <v>2.7788980479638252</v>
      </c>
      <c r="P3" s="18">
        <v>7.4300000000000005E-2</v>
      </c>
      <c r="Q3" s="19">
        <f>(EXP(P3)-1)*100</f>
        <v>7.7129895999020981</v>
      </c>
      <c r="R3" s="20">
        <f>(EXP(0.032) - 1) * 100</f>
        <v>3.2517505305118322</v>
      </c>
      <c r="S3" s="20">
        <f>(EXP(0.116) - 1) * 100</f>
        <v>12.29958721332547</v>
      </c>
      <c r="T3" s="18">
        <v>8.0999999999999996E-3</v>
      </c>
      <c r="U3" s="15">
        <v>1902081</v>
      </c>
      <c r="V3" s="15">
        <v>194</v>
      </c>
      <c r="W3" s="16">
        <f>(V3/U3)*100000</f>
        <v>10.199355337653865</v>
      </c>
      <c r="X3" s="17">
        <f>LN(W3)</f>
        <v>2.3223245161020851</v>
      </c>
      <c r="Y3" s="18">
        <v>6.2E-2</v>
      </c>
      <c r="Z3" s="19">
        <f t="shared" ref="Z3" si="0">(EXP(Y3)-1)*100</f>
        <v>6.3962344728033749</v>
      </c>
      <c r="AA3" s="20">
        <f>(EXP(0.015) - 1) * 100</f>
        <v>1.511306461571893</v>
      </c>
      <c r="AB3" s="20">
        <f>(EXP(0.109) - 1) * 100</f>
        <v>11.516235034144785</v>
      </c>
      <c r="AC3" s="21">
        <v>2.1899999999999999E-2</v>
      </c>
      <c r="AD3" s="22" t="s">
        <v>33</v>
      </c>
      <c r="AE3" s="13">
        <v>1</v>
      </c>
      <c r="AF3" s="13" t="s">
        <v>34</v>
      </c>
      <c r="AG3" s="13" t="s">
        <v>34</v>
      </c>
      <c r="AH3" s="13" t="s">
        <v>33</v>
      </c>
      <c r="AI3" s="13">
        <v>1</v>
      </c>
      <c r="AJ3" s="13">
        <v>9.6600000000000005E-2</v>
      </c>
      <c r="AK3" s="13">
        <v>9.6600000000000005E-2</v>
      </c>
      <c r="AL3" s="13" t="s">
        <v>33</v>
      </c>
      <c r="AM3" s="22">
        <v>1</v>
      </c>
      <c r="AN3" s="22">
        <v>6.7299999999999999E-2</v>
      </c>
      <c r="AO3" s="22">
        <v>6.7299999999999999E-2</v>
      </c>
      <c r="AP3" s="22" t="s">
        <v>33</v>
      </c>
      <c r="AQ3" s="22">
        <v>1</v>
      </c>
      <c r="AR3" s="22">
        <v>8.0199999999999994E-2</v>
      </c>
      <c r="AS3" s="13">
        <v>8.0199999999999994E-2</v>
      </c>
      <c r="AT3" s="13" t="s">
        <v>33</v>
      </c>
      <c r="AU3" s="13">
        <v>1</v>
      </c>
      <c r="AV3" s="13">
        <v>7.3599999999999999E-2</v>
      </c>
      <c r="AW3" s="13">
        <v>7.3599999999999999E-2</v>
      </c>
      <c r="AX3" s="13" t="s">
        <v>33</v>
      </c>
      <c r="AY3" s="13">
        <v>1</v>
      </c>
      <c r="AZ3" s="13">
        <v>9.5799999999999996E-2</v>
      </c>
      <c r="BA3" s="13">
        <v>9.5799999999999996E-2</v>
      </c>
      <c r="BB3" s="13" t="s">
        <v>33</v>
      </c>
      <c r="BC3" s="13">
        <v>1</v>
      </c>
      <c r="BD3" s="13">
        <v>6.7999999999999996E-3</v>
      </c>
      <c r="BE3" s="13">
        <v>6.7999999999999996E-3</v>
      </c>
      <c r="BF3" s="13" t="s">
        <v>33</v>
      </c>
      <c r="BG3" s="13">
        <v>1</v>
      </c>
      <c r="BH3" s="13">
        <v>1.01E-2</v>
      </c>
      <c r="BI3" s="13">
        <v>1.01E-2</v>
      </c>
      <c r="BJ3" s="13" t="s">
        <v>33</v>
      </c>
      <c r="BK3" s="13">
        <v>1</v>
      </c>
      <c r="BL3" s="13">
        <v>1.9E-3</v>
      </c>
      <c r="BM3" s="13">
        <v>1.9E-3</v>
      </c>
      <c r="BN3" s="13" t="s">
        <v>33</v>
      </c>
      <c r="BO3" s="13">
        <v>1</v>
      </c>
      <c r="BP3" s="13">
        <v>4.1799999999999997E-2</v>
      </c>
      <c r="BQ3" s="13">
        <v>4.1799999999999997E-2</v>
      </c>
      <c r="BR3" s="13" t="s">
        <v>33</v>
      </c>
      <c r="BS3" s="13">
        <v>1</v>
      </c>
      <c r="BT3" s="13">
        <v>4.58E-2</v>
      </c>
      <c r="BU3" s="13">
        <v>4.58E-2</v>
      </c>
      <c r="BV3" s="13" t="s">
        <v>33</v>
      </c>
      <c r="BW3" s="13">
        <v>1</v>
      </c>
      <c r="BX3" s="13">
        <v>3.1300000000000001E-2</v>
      </c>
      <c r="BY3" s="13">
        <v>3.1300000000000001E-2</v>
      </c>
    </row>
    <row r="4" spans="1:77" ht="15.6" thickTop="1" thickBot="1" x14ac:dyDescent="0.35">
      <c r="A4" s="23"/>
      <c r="B4" s="15">
        <v>2017</v>
      </c>
      <c r="C4" s="15">
        <v>3904551</v>
      </c>
      <c r="D4" s="15">
        <v>635</v>
      </c>
      <c r="E4" s="16">
        <f t="shared" ref="E4:E26" si="1">(D4/C4)*100000</f>
        <v>16.263073526251802</v>
      </c>
      <c r="F4" s="17">
        <f t="shared" ref="F4:F26" si="2">LN(E4)</f>
        <v>2.7888971100116491</v>
      </c>
      <c r="G4" s="24"/>
      <c r="H4" s="19"/>
      <c r="I4" s="25"/>
      <c r="J4" s="25"/>
      <c r="K4" s="24"/>
      <c r="L4" s="15">
        <v>1986389</v>
      </c>
      <c r="M4" s="15">
        <v>396</v>
      </c>
      <c r="N4" s="16">
        <f t="shared" ref="N4:N26" si="3">(M4/L4)*100000</f>
        <v>19.935672217274664</v>
      </c>
      <c r="O4" s="17">
        <f t="shared" ref="O4:O26" si="4">LN(N4)</f>
        <v>2.9925107007200094</v>
      </c>
      <c r="P4" s="24"/>
      <c r="Q4" s="19"/>
      <c r="R4" s="25"/>
      <c r="S4" s="25"/>
      <c r="T4" s="24"/>
      <c r="U4" s="15">
        <v>1918162</v>
      </c>
      <c r="V4" s="15">
        <v>239</v>
      </c>
      <c r="W4" s="16">
        <f t="shared" ref="W4:W26" si="5">(V4/U4)*100000</f>
        <v>12.459844371851805</v>
      </c>
      <c r="X4" s="17">
        <f t="shared" ref="X4:X26" si="6">LN(W4)</f>
        <v>2.5225110230607424</v>
      </c>
      <c r="Y4" s="24"/>
      <c r="Z4" s="19"/>
      <c r="AA4" s="25"/>
      <c r="AB4" s="25"/>
      <c r="AC4" s="26"/>
      <c r="AD4" s="22" t="s">
        <v>35</v>
      </c>
      <c r="AE4" s="13">
        <v>4</v>
      </c>
      <c r="AF4" s="13" t="s">
        <v>36</v>
      </c>
      <c r="AG4" s="13" t="s">
        <v>37</v>
      </c>
      <c r="AH4" s="13" t="s">
        <v>35</v>
      </c>
      <c r="AI4" s="13">
        <v>4</v>
      </c>
      <c r="AJ4" s="13">
        <v>1.61E-2</v>
      </c>
      <c r="AK4" s="13">
        <v>4.0000000000000001E-3</v>
      </c>
      <c r="AL4" s="13" t="s">
        <v>35</v>
      </c>
      <c r="AM4" s="27">
        <v>4</v>
      </c>
      <c r="AN4" s="28">
        <v>2.0299999999999999E-2</v>
      </c>
      <c r="AO4" s="29">
        <v>5.1000000000000004E-3</v>
      </c>
      <c r="AP4" s="22" t="s">
        <v>35</v>
      </c>
      <c r="AQ4" s="27">
        <v>4</v>
      </c>
      <c r="AR4" s="28">
        <v>6.0000000000000001E-3</v>
      </c>
      <c r="AS4" s="13">
        <v>1.5E-3</v>
      </c>
      <c r="AT4" s="13" t="s">
        <v>35</v>
      </c>
      <c r="AU4" s="13">
        <v>4</v>
      </c>
      <c r="AV4" s="13">
        <v>6.8999999999999999E-3</v>
      </c>
      <c r="AW4" s="13">
        <v>1.6999999999999999E-3</v>
      </c>
      <c r="AX4" s="13" t="s">
        <v>35</v>
      </c>
      <c r="AY4" s="13">
        <v>4</v>
      </c>
      <c r="AZ4" s="13">
        <v>5.3E-3</v>
      </c>
      <c r="BA4" s="13">
        <v>1.2999999999999999E-3</v>
      </c>
      <c r="BB4" s="13" t="s">
        <v>35</v>
      </c>
      <c r="BC4" s="13">
        <v>4</v>
      </c>
      <c r="BD4" s="13">
        <v>4.7000000000000002E-3</v>
      </c>
      <c r="BE4" s="13">
        <v>1.1999999999999999E-3</v>
      </c>
      <c r="BF4" s="13" t="s">
        <v>35</v>
      </c>
      <c r="BG4" s="13">
        <v>4</v>
      </c>
      <c r="BH4" s="13">
        <v>5.3E-3</v>
      </c>
      <c r="BI4" s="13">
        <v>1.2999999999999999E-3</v>
      </c>
      <c r="BJ4" s="13" t="s">
        <v>35</v>
      </c>
      <c r="BK4" s="13">
        <v>4</v>
      </c>
      <c r="BL4" s="13">
        <v>6.1000000000000004E-3</v>
      </c>
      <c r="BM4" s="13">
        <v>1.5E-3</v>
      </c>
      <c r="BN4" s="13" t="s">
        <v>35</v>
      </c>
      <c r="BO4" s="13">
        <v>4</v>
      </c>
      <c r="BP4" s="13">
        <v>2.5000000000000001E-3</v>
      </c>
      <c r="BQ4" s="13">
        <v>5.9999999999999995E-4</v>
      </c>
      <c r="BR4" s="13" t="s">
        <v>35</v>
      </c>
      <c r="BS4" s="13">
        <v>4</v>
      </c>
      <c r="BT4" s="13">
        <v>3.2000000000000002E-3</v>
      </c>
      <c r="BU4" s="13">
        <v>8.0000000000000004E-4</v>
      </c>
      <c r="BV4" s="13" t="s">
        <v>35</v>
      </c>
      <c r="BW4" s="13">
        <v>4</v>
      </c>
      <c r="BX4" s="13">
        <v>5.5999999999999999E-3</v>
      </c>
      <c r="BY4" s="13">
        <v>1.4E-3</v>
      </c>
    </row>
    <row r="5" spans="1:77" ht="15.6" thickTop="1" thickBot="1" x14ac:dyDescent="0.35">
      <c r="A5" s="23"/>
      <c r="B5" s="15">
        <v>2018</v>
      </c>
      <c r="C5" s="15">
        <v>3937119</v>
      </c>
      <c r="D5" s="15">
        <v>613</v>
      </c>
      <c r="E5" s="16">
        <f t="shared" si="1"/>
        <v>15.569760527939339</v>
      </c>
      <c r="F5" s="17">
        <f t="shared" si="2"/>
        <v>2.7453306053769113</v>
      </c>
      <c r="G5" s="24"/>
      <c r="H5" s="19"/>
      <c r="I5" s="25"/>
      <c r="J5" s="25"/>
      <c r="K5" s="24"/>
      <c r="L5" s="15">
        <v>2003493</v>
      </c>
      <c r="M5" s="15">
        <v>396</v>
      </c>
      <c r="N5" s="16">
        <f t="shared" si="3"/>
        <v>19.765479589896248</v>
      </c>
      <c r="O5" s="17">
        <f t="shared" si="4"/>
        <v>2.9839369610581765</v>
      </c>
      <c r="P5" s="24"/>
      <c r="Q5" s="19"/>
      <c r="R5" s="25"/>
      <c r="S5" s="25"/>
      <c r="T5" s="24"/>
      <c r="U5" s="15">
        <v>1933626</v>
      </c>
      <c r="V5" s="15">
        <v>217</v>
      </c>
      <c r="W5" s="16">
        <f t="shared" si="5"/>
        <v>11.222439085945267</v>
      </c>
      <c r="X5" s="17">
        <f t="shared" si="6"/>
        <v>2.4179152638084966</v>
      </c>
      <c r="Y5" s="24"/>
      <c r="Z5" s="19"/>
      <c r="AA5" s="25"/>
      <c r="AB5" s="25"/>
      <c r="AC5" s="26"/>
      <c r="AD5" s="22" t="s">
        <v>38</v>
      </c>
      <c r="AE5" s="13">
        <v>5</v>
      </c>
      <c r="AF5" s="13" t="s">
        <v>39</v>
      </c>
      <c r="AG5" s="13" t="s">
        <v>40</v>
      </c>
      <c r="AH5" s="13" t="s">
        <v>38</v>
      </c>
      <c r="AI5" s="13">
        <v>5</v>
      </c>
      <c r="AJ5" s="13">
        <v>0.11269999999999999</v>
      </c>
      <c r="AK5" s="13" t="s">
        <v>40</v>
      </c>
      <c r="AL5" s="13" t="s">
        <v>38</v>
      </c>
      <c r="AM5" s="27">
        <v>5</v>
      </c>
      <c r="AN5" s="28">
        <v>8.7599999999999997E-2</v>
      </c>
      <c r="AO5" s="29" t="s">
        <v>40</v>
      </c>
      <c r="AP5" s="22" t="s">
        <v>38</v>
      </c>
      <c r="AQ5" s="27">
        <v>5</v>
      </c>
      <c r="AR5" s="28">
        <v>8.6300000000000002E-2</v>
      </c>
      <c r="AS5" s="13" t="s">
        <v>40</v>
      </c>
      <c r="AT5" s="13" t="s">
        <v>38</v>
      </c>
      <c r="AU5" s="13">
        <v>5</v>
      </c>
      <c r="AV5" s="13">
        <v>8.0500000000000002E-2</v>
      </c>
      <c r="AW5" s="13" t="s">
        <v>40</v>
      </c>
      <c r="AX5" s="13" t="s">
        <v>38</v>
      </c>
      <c r="AY5" s="13">
        <v>5</v>
      </c>
      <c r="AZ5" s="13">
        <v>0.1011</v>
      </c>
      <c r="BA5" s="13" t="s">
        <v>40</v>
      </c>
      <c r="BB5" s="13" t="s">
        <v>38</v>
      </c>
      <c r="BC5" s="13">
        <v>5</v>
      </c>
      <c r="BD5" s="13">
        <v>1.15E-2</v>
      </c>
      <c r="BE5" s="13" t="s">
        <v>40</v>
      </c>
      <c r="BF5" s="13" t="s">
        <v>38</v>
      </c>
      <c r="BG5" s="13">
        <v>5</v>
      </c>
      <c r="BH5" s="13">
        <v>1.54E-2</v>
      </c>
      <c r="BI5" s="13" t="s">
        <v>40</v>
      </c>
      <c r="BJ5" s="13" t="s">
        <v>38</v>
      </c>
      <c r="BK5" s="13">
        <v>5</v>
      </c>
      <c r="BL5" s="13">
        <v>8.0000000000000002E-3</v>
      </c>
      <c r="BM5" s="13" t="s">
        <v>40</v>
      </c>
      <c r="BN5" s="13" t="s">
        <v>38</v>
      </c>
      <c r="BO5" s="13">
        <v>5</v>
      </c>
      <c r="BP5" s="13">
        <v>4.4299999999999999E-2</v>
      </c>
      <c r="BQ5" s="13" t="s">
        <v>40</v>
      </c>
      <c r="BR5" s="13" t="s">
        <v>38</v>
      </c>
      <c r="BS5" s="13">
        <v>5</v>
      </c>
      <c r="BT5" s="13">
        <v>4.9000000000000002E-2</v>
      </c>
      <c r="BU5" s="13" t="s">
        <v>40</v>
      </c>
      <c r="BV5" s="13" t="s">
        <v>38</v>
      </c>
      <c r="BW5" s="13">
        <v>5</v>
      </c>
      <c r="BX5" s="13">
        <v>3.6900000000000002E-2</v>
      </c>
      <c r="BY5" s="13" t="s">
        <v>40</v>
      </c>
    </row>
    <row r="6" spans="1:77" ht="15.6" thickTop="1" thickBot="1" x14ac:dyDescent="0.35">
      <c r="A6" s="23"/>
      <c r="B6" s="15">
        <v>2019</v>
      </c>
      <c r="C6" s="15">
        <v>3970009</v>
      </c>
      <c r="D6" s="15">
        <v>701</v>
      </c>
      <c r="E6" s="16">
        <f t="shared" si="1"/>
        <v>17.65739070112939</v>
      </c>
      <c r="F6" s="17">
        <f t="shared" si="2"/>
        <v>2.8711544323414961</v>
      </c>
      <c r="G6" s="24"/>
      <c r="H6" s="19"/>
      <c r="I6" s="25"/>
      <c r="J6" s="25"/>
      <c r="K6" s="24"/>
      <c r="L6" s="15">
        <v>2020876</v>
      </c>
      <c r="M6" s="15">
        <v>439</v>
      </c>
      <c r="N6" s="16">
        <f t="shared" si="3"/>
        <v>21.723252688438084</v>
      </c>
      <c r="O6" s="17">
        <f t="shared" si="4"/>
        <v>3.0783832393064565</v>
      </c>
      <c r="P6" s="24"/>
      <c r="Q6" s="19"/>
      <c r="R6" s="25"/>
      <c r="S6" s="25"/>
      <c r="T6" s="24"/>
      <c r="U6" s="15">
        <v>1949133</v>
      </c>
      <c r="V6" s="15">
        <v>262</v>
      </c>
      <c r="W6" s="16">
        <f t="shared" si="5"/>
        <v>13.441873899831361</v>
      </c>
      <c r="X6" s="17">
        <f t="shared" si="6"/>
        <v>2.5983747524467384</v>
      </c>
      <c r="Y6" s="24"/>
      <c r="Z6" s="19"/>
      <c r="AA6" s="25"/>
      <c r="AB6" s="25"/>
      <c r="AC6" s="26"/>
      <c r="AD6" s="22"/>
      <c r="AE6" s="13"/>
      <c r="AF6" s="13"/>
      <c r="AG6" s="13"/>
      <c r="AH6" s="13"/>
      <c r="AI6" s="13"/>
      <c r="AJ6" s="13"/>
      <c r="AK6" s="13"/>
      <c r="AL6" s="13"/>
      <c r="AM6" s="27"/>
      <c r="AN6" s="28"/>
      <c r="AO6" s="29"/>
      <c r="AP6" s="22"/>
      <c r="AQ6" s="27"/>
      <c r="AR6" s="28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</row>
    <row r="7" spans="1:77" ht="15.6" thickTop="1" thickBot="1" x14ac:dyDescent="0.35">
      <c r="A7" s="23"/>
      <c r="B7" s="15">
        <v>2020</v>
      </c>
      <c r="C7" s="15">
        <v>4001467</v>
      </c>
      <c r="D7" s="15">
        <v>715</v>
      </c>
      <c r="E7" s="16">
        <f t="shared" si="1"/>
        <v>17.868446747155481</v>
      </c>
      <c r="F7" s="17">
        <f>LN(E7)</f>
        <v>2.883036405816414</v>
      </c>
      <c r="G7" s="24"/>
      <c r="H7" s="19"/>
      <c r="I7" s="25"/>
      <c r="J7" s="25"/>
      <c r="K7" s="24"/>
      <c r="L7" s="15">
        <v>2037778</v>
      </c>
      <c r="M7" s="15">
        <v>436</v>
      </c>
      <c r="N7" s="16">
        <f t="shared" si="3"/>
        <v>21.395853719099922</v>
      </c>
      <c r="O7" s="17">
        <f t="shared" si="4"/>
        <v>3.0631971518116412</v>
      </c>
      <c r="P7" s="24"/>
      <c r="Q7" s="19"/>
      <c r="R7" s="25"/>
      <c r="S7" s="25"/>
      <c r="T7" s="24"/>
      <c r="U7" s="15">
        <v>1963689</v>
      </c>
      <c r="V7" s="15">
        <v>278</v>
      </c>
      <c r="W7" s="16">
        <f t="shared" si="5"/>
        <v>14.157027920408986</v>
      </c>
      <c r="X7" s="17">
        <f t="shared" si="6"/>
        <v>2.6502111736085494</v>
      </c>
      <c r="Y7" s="24"/>
      <c r="Z7" s="19"/>
      <c r="AA7" s="25"/>
      <c r="AB7" s="25"/>
      <c r="AC7" s="26"/>
      <c r="AD7" s="22" t="s">
        <v>41</v>
      </c>
      <c r="AE7" s="13" t="s">
        <v>42</v>
      </c>
      <c r="AF7" s="13" t="s">
        <v>43</v>
      </c>
      <c r="AG7" s="13"/>
      <c r="AH7" s="13" t="s">
        <v>41</v>
      </c>
      <c r="AI7" s="13">
        <v>23.9207</v>
      </c>
      <c r="AJ7" s="13" t="s">
        <v>44</v>
      </c>
      <c r="AK7" s="13"/>
      <c r="AL7" s="13" t="s">
        <v>41</v>
      </c>
      <c r="AM7" s="27">
        <v>13.2682</v>
      </c>
      <c r="AN7" s="28" t="s">
        <v>45</v>
      </c>
      <c r="AO7" s="29"/>
      <c r="AP7" s="22" t="s">
        <v>41</v>
      </c>
      <c r="AQ7" s="27">
        <v>53.1233</v>
      </c>
      <c r="AR7" s="28" t="s">
        <v>46</v>
      </c>
      <c r="AS7" s="13"/>
      <c r="AT7" s="13" t="s">
        <v>41</v>
      </c>
      <c r="AU7" s="13">
        <v>42.857500000000002</v>
      </c>
      <c r="AV7" s="13" t="s">
        <v>47</v>
      </c>
      <c r="AW7" s="13"/>
      <c r="AX7" s="13" t="s">
        <v>41</v>
      </c>
      <c r="AY7" s="13">
        <v>72.966999999999999</v>
      </c>
      <c r="AZ7" s="13" t="s">
        <v>48</v>
      </c>
      <c r="BA7" s="13"/>
      <c r="BB7" s="13" t="s">
        <v>41</v>
      </c>
      <c r="BC7" s="13">
        <v>5.7291999999999996</v>
      </c>
      <c r="BD7" s="13" t="s">
        <v>49</v>
      </c>
      <c r="BE7" s="13"/>
      <c r="BF7" s="13" t="s">
        <v>41</v>
      </c>
      <c r="BG7" s="13">
        <v>7.5789</v>
      </c>
      <c r="BH7" s="13" t="s">
        <v>50</v>
      </c>
      <c r="BI7" s="13"/>
      <c r="BJ7" s="13" t="s">
        <v>41</v>
      </c>
      <c r="BK7" s="13">
        <v>1.2044999999999999</v>
      </c>
      <c r="BL7" s="13" t="s">
        <v>51</v>
      </c>
      <c r="BM7" s="13"/>
      <c r="BN7" s="13" t="s">
        <v>41</v>
      </c>
      <c r="BO7" s="13">
        <v>66.557699999999997</v>
      </c>
      <c r="BP7" s="13" t="s">
        <v>52</v>
      </c>
      <c r="BQ7" s="13"/>
      <c r="BR7" s="13" t="s">
        <v>41</v>
      </c>
      <c r="BS7" s="13">
        <v>57.627699999999997</v>
      </c>
      <c r="BT7" s="13" t="s">
        <v>53</v>
      </c>
      <c r="BU7" s="13"/>
      <c r="BV7" s="13" t="s">
        <v>41</v>
      </c>
      <c r="BW7" s="13">
        <v>22.184999999999999</v>
      </c>
      <c r="BX7" s="13" t="s">
        <v>54</v>
      </c>
      <c r="BY7" s="13"/>
    </row>
    <row r="8" spans="1:77" ht="15.6" thickTop="1" thickBot="1" x14ac:dyDescent="0.35">
      <c r="A8" s="30"/>
      <c r="B8" s="15">
        <v>2021</v>
      </c>
      <c r="C8" s="15">
        <v>4027541</v>
      </c>
      <c r="D8" s="15">
        <v>802</v>
      </c>
      <c r="E8" s="16">
        <f t="shared" si="1"/>
        <v>19.912894741481214</v>
      </c>
      <c r="F8" s="17">
        <f t="shared" si="2"/>
        <v>2.9913674988428776</v>
      </c>
      <c r="G8" s="31"/>
      <c r="H8" s="19"/>
      <c r="I8" s="32"/>
      <c r="J8" s="32"/>
      <c r="K8" s="31"/>
      <c r="L8" s="15">
        <v>2052107</v>
      </c>
      <c r="M8" s="15">
        <v>525</v>
      </c>
      <c r="N8" s="16">
        <f t="shared" si="3"/>
        <v>25.583461291248458</v>
      </c>
      <c r="O8" s="17">
        <f t="shared" si="4"/>
        <v>3.2419460993990064</v>
      </c>
      <c r="P8" s="31"/>
      <c r="Q8" s="19"/>
      <c r="R8" s="32"/>
      <c r="S8" s="32"/>
      <c r="T8" s="31"/>
      <c r="U8" s="15">
        <v>1975434</v>
      </c>
      <c r="V8" s="15">
        <v>277</v>
      </c>
      <c r="W8" s="16">
        <f t="shared" si="5"/>
        <v>14.022235113904085</v>
      </c>
      <c r="X8" s="17">
        <f t="shared" si="6"/>
        <v>2.6406442921455642</v>
      </c>
      <c r="Y8" s="31"/>
      <c r="Z8" s="19"/>
      <c r="AA8" s="32"/>
      <c r="AB8" s="32"/>
      <c r="AC8" s="33"/>
      <c r="AD8" s="22" t="s">
        <v>55</v>
      </c>
      <c r="AE8" s="13" t="s">
        <v>56</v>
      </c>
      <c r="AF8" s="13"/>
      <c r="AG8" s="13"/>
      <c r="AH8" s="13" t="s">
        <v>55</v>
      </c>
      <c r="AI8" s="13" t="s">
        <v>56</v>
      </c>
      <c r="AJ8" s="13"/>
      <c r="AK8" s="13"/>
      <c r="AL8" s="13" t="s">
        <v>55</v>
      </c>
      <c r="AM8" s="27" t="s">
        <v>56</v>
      </c>
      <c r="AN8" s="28"/>
      <c r="AO8" s="29"/>
      <c r="AP8" s="22" t="s">
        <v>55</v>
      </c>
      <c r="AQ8" s="27" t="s">
        <v>56</v>
      </c>
      <c r="AR8" s="28"/>
      <c r="AS8" s="13"/>
      <c r="AT8" s="13" t="s">
        <v>55</v>
      </c>
      <c r="AU8" s="13" t="s">
        <v>56</v>
      </c>
      <c r="AV8" s="13"/>
      <c r="AW8" s="13"/>
      <c r="AX8" s="13" t="s">
        <v>55</v>
      </c>
      <c r="AY8" s="13" t="s">
        <v>56</v>
      </c>
      <c r="AZ8" s="13"/>
      <c r="BA8" s="13"/>
      <c r="BB8" s="13" t="s">
        <v>55</v>
      </c>
      <c r="BC8" s="13" t="s">
        <v>56</v>
      </c>
      <c r="BD8" s="13"/>
      <c r="BE8" s="13"/>
      <c r="BF8" s="13" t="s">
        <v>55</v>
      </c>
      <c r="BG8" s="13" t="s">
        <v>56</v>
      </c>
      <c r="BH8" s="13"/>
      <c r="BI8" s="13"/>
      <c r="BJ8" s="13" t="s">
        <v>55</v>
      </c>
      <c r="BK8" s="13" t="s">
        <v>56</v>
      </c>
      <c r="BL8" s="13"/>
      <c r="BM8" s="13"/>
      <c r="BN8" s="13" t="s">
        <v>55</v>
      </c>
      <c r="BO8" s="13" t="s">
        <v>56</v>
      </c>
      <c r="BP8" s="13"/>
      <c r="BQ8" s="13"/>
      <c r="BR8" s="13" t="s">
        <v>55</v>
      </c>
      <c r="BS8" s="13" t="s">
        <v>56</v>
      </c>
      <c r="BT8" s="13"/>
      <c r="BU8" s="13"/>
      <c r="BV8" s="13" t="s">
        <v>55</v>
      </c>
      <c r="BW8" s="13" t="s">
        <v>56</v>
      </c>
      <c r="BX8" s="13"/>
      <c r="BY8" s="13"/>
    </row>
    <row r="9" spans="1:77" ht="15.6" thickTop="1" thickBot="1" x14ac:dyDescent="0.35">
      <c r="A9" s="34" t="s">
        <v>57</v>
      </c>
      <c r="B9" s="35">
        <v>2016</v>
      </c>
      <c r="C9" s="35">
        <v>20588168</v>
      </c>
      <c r="D9" s="35">
        <v>2102</v>
      </c>
      <c r="E9" s="16">
        <f t="shared" si="1"/>
        <v>10.209747657003771</v>
      </c>
      <c r="F9" s="17">
        <f t="shared" si="2"/>
        <v>2.3233429165923778</v>
      </c>
      <c r="G9" s="18">
        <v>6.7699999999999996E-2</v>
      </c>
      <c r="H9" s="19">
        <f t="shared" ref="H9:H21" si="7">(EXP(G9)-1)*100</f>
        <v>7.0044247047853281</v>
      </c>
      <c r="I9" s="20">
        <f>(EXP(0.042) - 1) * 100</f>
        <v>4.2894478750763243</v>
      </c>
      <c r="J9" s="20">
        <f>(EXP(0.094) - 1) * 100</f>
        <v>9.8559745917173647</v>
      </c>
      <c r="K9" s="36">
        <v>1.9E-3</v>
      </c>
      <c r="L9" s="35">
        <v>10469989</v>
      </c>
      <c r="M9" s="35">
        <v>1336</v>
      </c>
      <c r="N9" s="16">
        <f t="shared" si="3"/>
        <v>12.760280836971271</v>
      </c>
      <c r="O9" s="17">
        <f t="shared" si="4"/>
        <v>2.5463372868414731</v>
      </c>
      <c r="P9" s="18">
        <v>6.4899999999999999E-2</v>
      </c>
      <c r="Q9" s="19">
        <f t="shared" ref="Q9" si="8">(EXP(P9)-1)*100</f>
        <v>6.7052313817371534</v>
      </c>
      <c r="R9" s="20">
        <f>(EXP(0.037) - 1) * 100</f>
        <v>3.7693020838157176</v>
      </c>
      <c r="S9" s="20">
        <f>(EXP(0.092) - 1) * 100</f>
        <v>9.6364822080816879</v>
      </c>
      <c r="T9" s="36">
        <v>2.8E-3</v>
      </c>
      <c r="U9" s="35">
        <v>10118179</v>
      </c>
      <c r="V9" s="35">
        <v>766</v>
      </c>
      <c r="W9" s="16">
        <f t="shared" si="5"/>
        <v>7.5705322074258614</v>
      </c>
      <c r="X9" s="17">
        <f t="shared" si="6"/>
        <v>2.0242633697899608</v>
      </c>
      <c r="Y9" s="36">
        <v>7.3999999999999996E-2</v>
      </c>
      <c r="Z9" s="19">
        <f t="shared" ref="Z9:Z21" si="9">(EXP(Y9)-1)*100</f>
        <v>7.6806805496219877</v>
      </c>
      <c r="AA9" s="20">
        <f>(EXP(0.05) - 1) * 100</f>
        <v>5.1271096376024117</v>
      </c>
      <c r="AB9" s="20">
        <f>(EXP(0.098) - 1) * 100</f>
        <v>10.296278510850776</v>
      </c>
      <c r="AC9" s="37">
        <v>1E-3</v>
      </c>
      <c r="AD9" s="22" t="s">
        <v>58</v>
      </c>
      <c r="AE9" s="13" t="s">
        <v>59</v>
      </c>
      <c r="AF9" s="13"/>
      <c r="AG9" s="13"/>
      <c r="AH9" s="13" t="s">
        <v>58</v>
      </c>
      <c r="AI9" s="13" t="s">
        <v>59</v>
      </c>
      <c r="AJ9" s="13"/>
      <c r="AK9" s="13"/>
      <c r="AL9" s="13" t="s">
        <v>58</v>
      </c>
      <c r="AM9" s="27" t="s">
        <v>59</v>
      </c>
      <c r="AN9" s="28"/>
      <c r="AO9" s="29"/>
      <c r="AP9" s="22" t="s">
        <v>58</v>
      </c>
      <c r="AQ9" s="27" t="s">
        <v>59</v>
      </c>
      <c r="AR9" s="28"/>
      <c r="AS9" s="13"/>
      <c r="AT9" s="13" t="s">
        <v>58</v>
      </c>
      <c r="AU9" s="13" t="s">
        <v>59</v>
      </c>
      <c r="AV9" s="13"/>
      <c r="AW9" s="13"/>
      <c r="AX9" s="13" t="s">
        <v>58</v>
      </c>
      <c r="AY9" s="13" t="s">
        <v>59</v>
      </c>
      <c r="AZ9" s="13"/>
      <c r="BA9" s="13"/>
      <c r="BB9" s="13" t="s">
        <v>58</v>
      </c>
      <c r="BC9" s="13" t="s">
        <v>59</v>
      </c>
      <c r="BD9" s="13"/>
      <c r="BE9" s="13"/>
      <c r="BF9" s="13" t="s">
        <v>58</v>
      </c>
      <c r="BG9" s="13" t="s">
        <v>59</v>
      </c>
      <c r="BH9" s="13"/>
      <c r="BI9" s="13"/>
      <c r="BJ9" s="13" t="s">
        <v>58</v>
      </c>
      <c r="BK9" s="13" t="s">
        <v>59</v>
      </c>
      <c r="BL9" s="13"/>
      <c r="BM9" s="13"/>
      <c r="BN9" s="13" t="s">
        <v>58</v>
      </c>
      <c r="BO9" s="13" t="s">
        <v>59</v>
      </c>
      <c r="BP9" s="13"/>
      <c r="BQ9" s="13"/>
      <c r="BR9" s="13" t="s">
        <v>58</v>
      </c>
      <c r="BS9" s="13" t="s">
        <v>59</v>
      </c>
      <c r="BT9" s="13"/>
      <c r="BU9" s="13"/>
      <c r="BV9" s="13" t="s">
        <v>58</v>
      </c>
      <c r="BW9" s="13" t="s">
        <v>59</v>
      </c>
      <c r="BX9" s="13"/>
      <c r="BY9" s="13"/>
    </row>
    <row r="10" spans="1:77" ht="15.6" thickTop="1" thickBot="1" x14ac:dyDescent="0.35">
      <c r="A10" s="38"/>
      <c r="B10" s="35">
        <v>2017</v>
      </c>
      <c r="C10" s="35">
        <v>20695003</v>
      </c>
      <c r="D10" s="35">
        <v>2372</v>
      </c>
      <c r="E10" s="16">
        <f t="shared" si="1"/>
        <v>11.461704064502914</v>
      </c>
      <c r="F10" s="17">
        <f t="shared" si="2"/>
        <v>2.4390113969603338</v>
      </c>
      <c r="G10" s="24"/>
      <c r="H10" s="19"/>
      <c r="I10" s="25"/>
      <c r="J10" s="25"/>
      <c r="K10" s="39"/>
      <c r="L10" s="35">
        <v>10526788</v>
      </c>
      <c r="M10" s="35">
        <v>1523</v>
      </c>
      <c r="N10" s="16">
        <f t="shared" si="3"/>
        <v>14.467850972205387</v>
      </c>
      <c r="O10" s="17">
        <f t="shared" si="4"/>
        <v>2.6719290135256997</v>
      </c>
      <c r="P10" s="24"/>
      <c r="Q10" s="19"/>
      <c r="R10" s="25"/>
      <c r="S10" s="25"/>
      <c r="T10" s="39"/>
      <c r="U10" s="35">
        <v>10168215</v>
      </c>
      <c r="V10" s="35">
        <v>848</v>
      </c>
      <c r="W10" s="16">
        <f t="shared" si="5"/>
        <v>8.3397135092049091</v>
      </c>
      <c r="X10" s="17">
        <f t="shared" si="6"/>
        <v>2.1210288643663526</v>
      </c>
      <c r="Y10" s="39"/>
      <c r="Z10" s="19"/>
      <c r="AA10" s="25"/>
      <c r="AB10" s="25"/>
      <c r="AC10" s="40"/>
      <c r="AD10" s="22" t="s">
        <v>60</v>
      </c>
      <c r="AE10" s="13" t="s">
        <v>61</v>
      </c>
      <c r="AF10" s="13"/>
      <c r="AG10" s="13"/>
      <c r="AH10" s="13" t="s">
        <v>60</v>
      </c>
      <c r="AI10" s="13">
        <v>3.5</v>
      </c>
      <c r="AJ10" s="13"/>
      <c r="AK10" s="13"/>
      <c r="AL10" s="13" t="s">
        <v>60</v>
      </c>
      <c r="AM10" s="27">
        <v>3.5</v>
      </c>
      <c r="AN10" s="28"/>
      <c r="AO10" s="29"/>
      <c r="AP10" s="22" t="s">
        <v>60</v>
      </c>
      <c r="AQ10" s="27">
        <v>3.5</v>
      </c>
      <c r="AR10" s="28"/>
      <c r="AS10" s="13"/>
      <c r="AT10" s="13" t="s">
        <v>60</v>
      </c>
      <c r="AU10" s="13">
        <v>3.5</v>
      </c>
      <c r="AV10" s="13"/>
      <c r="AW10" s="13"/>
      <c r="AX10" s="13" t="s">
        <v>60</v>
      </c>
      <c r="AY10" s="13">
        <v>3.5</v>
      </c>
      <c r="AZ10" s="13"/>
      <c r="BA10" s="13"/>
      <c r="BB10" s="13" t="s">
        <v>60</v>
      </c>
      <c r="BC10" s="13">
        <v>3.5</v>
      </c>
      <c r="BD10" s="13"/>
      <c r="BE10" s="13"/>
      <c r="BF10" s="13" t="s">
        <v>60</v>
      </c>
      <c r="BG10" s="13">
        <v>3.5</v>
      </c>
      <c r="BH10" s="13"/>
      <c r="BI10" s="13"/>
      <c r="BJ10" s="13" t="s">
        <v>60</v>
      </c>
      <c r="BK10" s="13">
        <v>3.5</v>
      </c>
      <c r="BL10" s="13"/>
      <c r="BM10" s="13"/>
      <c r="BN10" s="13" t="s">
        <v>60</v>
      </c>
      <c r="BO10" s="13">
        <v>3.5</v>
      </c>
      <c r="BP10" s="13"/>
      <c r="BQ10" s="13"/>
      <c r="BR10" s="13" t="s">
        <v>60</v>
      </c>
      <c r="BS10" s="13">
        <v>3.5</v>
      </c>
      <c r="BT10" s="13"/>
      <c r="BU10" s="13"/>
      <c r="BV10" s="13" t="s">
        <v>60</v>
      </c>
      <c r="BW10" s="13">
        <v>3.5</v>
      </c>
      <c r="BX10" s="13"/>
      <c r="BY10" s="13"/>
    </row>
    <row r="11" spans="1:77" ht="15.6" thickTop="1" thickBot="1" x14ac:dyDescent="0.35">
      <c r="A11" s="38"/>
      <c r="B11" s="35">
        <v>2018</v>
      </c>
      <c r="C11" s="35">
        <v>20801238</v>
      </c>
      <c r="D11" s="35">
        <v>2353</v>
      </c>
      <c r="E11" s="16">
        <f t="shared" si="1"/>
        <v>11.311826728774509</v>
      </c>
      <c r="F11" s="17">
        <f t="shared" si="2"/>
        <v>2.4258487915664744</v>
      </c>
      <c r="G11" s="24"/>
      <c r="H11" s="19"/>
      <c r="I11" s="25"/>
      <c r="J11" s="25"/>
      <c r="K11" s="39"/>
      <c r="L11" s="35">
        <v>10583392</v>
      </c>
      <c r="M11" s="35">
        <v>1496</v>
      </c>
      <c r="N11" s="16">
        <f t="shared" si="3"/>
        <v>14.135354714254182</v>
      </c>
      <c r="O11" s="17">
        <f t="shared" si="4"/>
        <v>2.6486790855780633</v>
      </c>
      <c r="P11" s="24"/>
      <c r="Q11" s="19"/>
      <c r="R11" s="25"/>
      <c r="S11" s="25"/>
      <c r="T11" s="39"/>
      <c r="U11" s="35">
        <v>10217846</v>
      </c>
      <c r="V11" s="35">
        <v>857</v>
      </c>
      <c r="W11" s="16">
        <f t="shared" si="5"/>
        <v>8.3872863223814491</v>
      </c>
      <c r="X11" s="17">
        <f t="shared" si="6"/>
        <v>2.1267170262512556</v>
      </c>
      <c r="Y11" s="39"/>
      <c r="Z11" s="19"/>
      <c r="AA11" s="25"/>
      <c r="AB11" s="25"/>
      <c r="AC11" s="40"/>
      <c r="AD11" s="22" t="s">
        <v>62</v>
      </c>
      <c r="AE11" s="13" t="s">
        <v>63</v>
      </c>
      <c r="AF11" s="13"/>
      <c r="AG11" s="13"/>
      <c r="AH11" s="13" t="s">
        <v>62</v>
      </c>
      <c r="AI11" s="13">
        <v>3.0219999999999998</v>
      </c>
      <c r="AJ11" s="13"/>
      <c r="AK11" s="13"/>
      <c r="AL11" s="13" t="s">
        <v>62</v>
      </c>
      <c r="AM11" s="27">
        <v>2.5249999999999999</v>
      </c>
      <c r="AN11" s="28"/>
      <c r="AO11" s="29"/>
      <c r="AP11" s="22" t="s">
        <v>62</v>
      </c>
      <c r="AQ11" s="27">
        <v>2.5083000000000002</v>
      </c>
      <c r="AR11" s="28"/>
      <c r="AS11" s="13"/>
      <c r="AT11" s="13" t="s">
        <v>62</v>
      </c>
      <c r="AU11" s="13">
        <v>2.7317</v>
      </c>
      <c r="AV11" s="13"/>
      <c r="AW11" s="13"/>
      <c r="AX11" s="13" t="s">
        <v>62</v>
      </c>
      <c r="AY11" s="13">
        <v>2.2117</v>
      </c>
      <c r="AZ11" s="13"/>
      <c r="BA11" s="13"/>
      <c r="BB11" s="13" t="s">
        <v>62</v>
      </c>
      <c r="BC11" s="13">
        <v>2.4950000000000001</v>
      </c>
      <c r="BD11" s="13"/>
      <c r="BE11" s="13"/>
      <c r="BF11" s="13" t="s">
        <v>62</v>
      </c>
      <c r="BG11" s="13">
        <v>2.76</v>
      </c>
      <c r="BH11" s="13"/>
      <c r="BI11" s="13"/>
      <c r="BJ11" s="13" t="s">
        <v>62</v>
      </c>
      <c r="BK11" s="13">
        <v>2.08</v>
      </c>
      <c r="BL11" s="13"/>
      <c r="BM11" s="13"/>
      <c r="BN11" s="13" t="s">
        <v>62</v>
      </c>
      <c r="BO11" s="13">
        <v>2.5817000000000001</v>
      </c>
      <c r="BP11" s="13"/>
      <c r="BQ11" s="13"/>
      <c r="BR11" s="13" t="s">
        <v>62</v>
      </c>
      <c r="BS11" s="13">
        <v>2.8250000000000002</v>
      </c>
      <c r="BT11" s="13"/>
      <c r="BU11" s="13"/>
      <c r="BV11" s="13" t="s">
        <v>62</v>
      </c>
      <c r="BW11" s="13">
        <v>2.2366999999999999</v>
      </c>
      <c r="BX11" s="13"/>
      <c r="BY11" s="13"/>
    </row>
    <row r="12" spans="1:77" ht="15.6" thickTop="1" thickBot="1" x14ac:dyDescent="0.35">
      <c r="A12" s="38"/>
      <c r="B12" s="35">
        <v>2019</v>
      </c>
      <c r="C12" s="35">
        <v>20916751</v>
      </c>
      <c r="D12" s="35">
        <v>2797</v>
      </c>
      <c r="E12" s="16">
        <f t="shared" si="1"/>
        <v>13.372057639353264</v>
      </c>
      <c r="F12" s="17">
        <f t="shared" si="2"/>
        <v>2.5931672789997484</v>
      </c>
      <c r="G12" s="24"/>
      <c r="H12" s="19"/>
      <c r="I12" s="25"/>
      <c r="J12" s="25"/>
      <c r="K12" s="39"/>
      <c r="L12" s="35">
        <v>10644318</v>
      </c>
      <c r="M12" s="35">
        <v>1769</v>
      </c>
      <c r="N12" s="16">
        <f t="shared" si="3"/>
        <v>16.619195330316138</v>
      </c>
      <c r="O12" s="17">
        <f t="shared" si="4"/>
        <v>2.810558372510104</v>
      </c>
      <c r="P12" s="24"/>
      <c r="Q12" s="19"/>
      <c r="R12" s="25"/>
      <c r="S12" s="25"/>
      <c r="T12" s="39"/>
      <c r="U12" s="35">
        <v>10272433</v>
      </c>
      <c r="V12" s="35">
        <v>1028</v>
      </c>
      <c r="W12" s="16">
        <f t="shared" si="5"/>
        <v>10.007366317210343</v>
      </c>
      <c r="X12" s="17">
        <f t="shared" si="6"/>
        <v>2.3033214535350988</v>
      </c>
      <c r="Y12" s="39"/>
      <c r="Z12" s="19"/>
      <c r="AA12" s="25"/>
      <c r="AB12" s="25"/>
      <c r="AC12" s="40"/>
      <c r="AD12" s="22" t="s">
        <v>64</v>
      </c>
      <c r="AE12" s="13" t="s">
        <v>65</v>
      </c>
      <c r="AF12" s="13"/>
      <c r="AG12" s="13"/>
      <c r="AH12" s="13" t="s">
        <v>64</v>
      </c>
      <c r="AI12" s="13">
        <v>0.85670000000000002</v>
      </c>
      <c r="AJ12" s="13"/>
      <c r="AK12" s="13"/>
      <c r="AL12" s="13" t="s">
        <v>64</v>
      </c>
      <c r="AM12" s="27">
        <v>0.76839999999999997</v>
      </c>
      <c r="AN12" s="28"/>
      <c r="AO12" s="29"/>
      <c r="AP12" s="22" t="s">
        <v>64</v>
      </c>
      <c r="AQ12" s="27">
        <v>0.93</v>
      </c>
      <c r="AR12" s="28"/>
      <c r="AS12" s="13"/>
      <c r="AT12" s="13" t="s">
        <v>64</v>
      </c>
      <c r="AU12" s="13">
        <v>0.91459999999999997</v>
      </c>
      <c r="AV12" s="13"/>
      <c r="AW12" s="13"/>
      <c r="AX12" s="13" t="s">
        <v>64</v>
      </c>
      <c r="AY12" s="13">
        <v>0.94799999999999995</v>
      </c>
      <c r="AZ12" s="13"/>
      <c r="BA12" s="13"/>
      <c r="BB12" s="13" t="s">
        <v>64</v>
      </c>
      <c r="BC12" s="13">
        <v>0.58889999999999998</v>
      </c>
      <c r="BD12" s="13"/>
      <c r="BE12" s="13"/>
      <c r="BF12" s="13" t="s">
        <v>64</v>
      </c>
      <c r="BG12" s="13">
        <v>0.65449999999999997</v>
      </c>
      <c r="BH12" s="13"/>
      <c r="BI12" s="13"/>
      <c r="BJ12" s="13" t="s">
        <v>64</v>
      </c>
      <c r="BK12" s="13">
        <v>0.23139999999999999</v>
      </c>
      <c r="BL12" s="13"/>
      <c r="BM12" s="13"/>
      <c r="BN12" s="13" t="s">
        <v>64</v>
      </c>
      <c r="BO12" s="13">
        <v>0.94330000000000003</v>
      </c>
      <c r="BP12" s="13"/>
      <c r="BQ12" s="13"/>
      <c r="BR12" s="13" t="s">
        <v>64</v>
      </c>
      <c r="BS12" s="13">
        <v>0.93510000000000004</v>
      </c>
      <c r="BT12" s="13"/>
      <c r="BU12" s="13"/>
      <c r="BV12" s="13" t="s">
        <v>64</v>
      </c>
      <c r="BW12" s="13">
        <v>0.84719999999999995</v>
      </c>
      <c r="BX12" s="13"/>
      <c r="BY12" s="13"/>
    </row>
    <row r="13" spans="1:77" ht="15.6" thickTop="1" thickBot="1" x14ac:dyDescent="0.35">
      <c r="A13" s="38"/>
      <c r="B13" s="35">
        <v>2020</v>
      </c>
      <c r="C13" s="35">
        <v>21032009</v>
      </c>
      <c r="D13" s="35">
        <v>2869</v>
      </c>
      <c r="E13" s="16">
        <f t="shared" si="1"/>
        <v>13.641112458633884</v>
      </c>
      <c r="F13" s="17">
        <f t="shared" si="2"/>
        <v>2.6130882076404696</v>
      </c>
      <c r="G13" s="24"/>
      <c r="H13" s="19"/>
      <c r="I13" s="25"/>
      <c r="J13" s="25"/>
      <c r="K13" s="39"/>
      <c r="L13" s="35">
        <v>10705122</v>
      </c>
      <c r="M13" s="35">
        <v>1824</v>
      </c>
      <c r="N13" s="16">
        <f t="shared" si="3"/>
        <v>17.038572750502052</v>
      </c>
      <c r="O13" s="17">
        <f t="shared" si="4"/>
        <v>2.8354797591198539</v>
      </c>
      <c r="P13" s="24"/>
      <c r="Q13" s="19"/>
      <c r="R13" s="25"/>
      <c r="S13" s="25"/>
      <c r="T13" s="39"/>
      <c r="U13" s="35">
        <v>10326887</v>
      </c>
      <c r="V13" s="35">
        <v>1045</v>
      </c>
      <c r="W13" s="16">
        <f t="shared" si="5"/>
        <v>10.119215984449138</v>
      </c>
      <c r="X13" s="17">
        <f t="shared" si="6"/>
        <v>2.3144361889658396</v>
      </c>
      <c r="Y13" s="39"/>
      <c r="Z13" s="19"/>
      <c r="AA13" s="25"/>
      <c r="AB13" s="25"/>
      <c r="AC13" s="40"/>
      <c r="AD13" s="22" t="s">
        <v>66</v>
      </c>
      <c r="AE13" s="13" t="s">
        <v>67</v>
      </c>
      <c r="AF13" s="13"/>
      <c r="AG13" s="13"/>
      <c r="AH13" s="13" t="s">
        <v>66</v>
      </c>
      <c r="AI13" s="13">
        <v>0.82089999999999996</v>
      </c>
      <c r="AJ13" s="13"/>
      <c r="AK13" s="13"/>
      <c r="AL13" s="13" t="s">
        <v>66</v>
      </c>
      <c r="AM13" s="27">
        <v>0.71050000000000002</v>
      </c>
      <c r="AN13" s="28"/>
      <c r="AO13" s="29"/>
      <c r="AP13" s="22" t="s">
        <v>66</v>
      </c>
      <c r="AQ13" s="27">
        <v>0.91249999999999998</v>
      </c>
      <c r="AR13" s="28"/>
      <c r="AS13" s="13"/>
      <c r="AT13" s="13" t="s">
        <v>66</v>
      </c>
      <c r="AU13" s="13">
        <v>0.89329999999999998</v>
      </c>
      <c r="AV13" s="13"/>
      <c r="AW13" s="13"/>
      <c r="AX13" s="13" t="s">
        <v>66</v>
      </c>
      <c r="AY13" s="13">
        <v>0.93500000000000005</v>
      </c>
      <c r="AZ13" s="13"/>
      <c r="BA13" s="13"/>
      <c r="BB13" s="13" t="s">
        <v>66</v>
      </c>
      <c r="BC13" s="13">
        <v>0.48609999999999998</v>
      </c>
      <c r="BD13" s="13"/>
      <c r="BE13" s="13"/>
      <c r="BF13" s="13" t="s">
        <v>66</v>
      </c>
      <c r="BG13" s="13">
        <v>0.56820000000000004</v>
      </c>
      <c r="BH13" s="13"/>
      <c r="BI13" s="13"/>
      <c r="BJ13" s="13" t="s">
        <v>66</v>
      </c>
      <c r="BK13" s="13">
        <v>3.9300000000000002E-2</v>
      </c>
      <c r="BL13" s="13"/>
      <c r="BM13" s="13"/>
      <c r="BN13" s="13" t="s">
        <v>66</v>
      </c>
      <c r="BO13" s="13">
        <v>0.92910000000000004</v>
      </c>
      <c r="BP13" s="13"/>
      <c r="BQ13" s="13"/>
      <c r="BR13" s="13" t="s">
        <v>66</v>
      </c>
      <c r="BS13" s="13">
        <v>0.91890000000000005</v>
      </c>
      <c r="BT13" s="13"/>
      <c r="BU13" s="13"/>
      <c r="BV13" s="13" t="s">
        <v>66</v>
      </c>
      <c r="BW13" s="13">
        <v>0.80910000000000004</v>
      </c>
      <c r="BX13" s="13"/>
      <c r="BY13" s="13"/>
    </row>
    <row r="14" spans="1:77" ht="15.6" thickTop="1" thickBot="1" x14ac:dyDescent="0.35">
      <c r="A14" s="41"/>
      <c r="B14" s="35">
        <v>2021</v>
      </c>
      <c r="C14" s="35">
        <v>21117017</v>
      </c>
      <c r="D14" s="35">
        <v>3028</v>
      </c>
      <c r="E14" s="16">
        <f t="shared" si="1"/>
        <v>14.339146480774248</v>
      </c>
      <c r="F14" s="17">
        <f t="shared" si="2"/>
        <v>2.6629933132309191</v>
      </c>
      <c r="G14" s="31"/>
      <c r="H14" s="19"/>
      <c r="I14" s="32"/>
      <c r="J14" s="32"/>
      <c r="K14" s="42"/>
      <c r="L14" s="35">
        <v>10751685</v>
      </c>
      <c r="M14" s="35">
        <v>1898</v>
      </c>
      <c r="N14" s="16">
        <f t="shared" si="3"/>
        <v>17.653046941014363</v>
      </c>
      <c r="O14" s="17">
        <f t="shared" si="4"/>
        <v>2.8709083996991955</v>
      </c>
      <c r="P14" s="31"/>
      <c r="Q14" s="19"/>
      <c r="R14" s="32"/>
      <c r="S14" s="32"/>
      <c r="T14" s="42"/>
      <c r="U14" s="35">
        <v>10365332</v>
      </c>
      <c r="V14" s="35">
        <v>1130</v>
      </c>
      <c r="W14" s="16">
        <f t="shared" si="5"/>
        <v>10.901725096697335</v>
      </c>
      <c r="X14" s="17">
        <f t="shared" si="6"/>
        <v>2.3889210424644443</v>
      </c>
      <c r="Y14" s="42"/>
      <c r="Z14" s="19"/>
      <c r="AA14" s="32"/>
      <c r="AB14" s="32"/>
      <c r="AC14" s="43"/>
      <c r="AD14" s="22" t="s">
        <v>68</v>
      </c>
      <c r="AE14" s="13" t="s">
        <v>69</v>
      </c>
      <c r="AF14" s="13"/>
      <c r="AG14" s="13"/>
      <c r="AH14" s="13" t="s">
        <v>68</v>
      </c>
      <c r="AI14" s="13">
        <v>0.92559999999999998</v>
      </c>
      <c r="AJ14" s="13"/>
      <c r="AK14" s="13"/>
      <c r="AL14" s="13" t="s">
        <v>68</v>
      </c>
      <c r="AM14" s="27">
        <v>0.87660000000000005</v>
      </c>
      <c r="AN14" s="28"/>
      <c r="AO14" s="29"/>
      <c r="AP14" s="22" t="s">
        <v>68</v>
      </c>
      <c r="AQ14" s="27">
        <v>0.96440000000000003</v>
      </c>
      <c r="AR14" s="28"/>
      <c r="AS14" s="13"/>
      <c r="AT14" s="13" t="s">
        <v>68</v>
      </c>
      <c r="AU14" s="13">
        <v>0.95640000000000003</v>
      </c>
      <c r="AV14" s="13"/>
      <c r="AW14" s="13"/>
      <c r="AX14" s="13" t="s">
        <v>68</v>
      </c>
      <c r="AY14" s="13">
        <v>0.97370000000000001</v>
      </c>
      <c r="AZ14" s="13"/>
      <c r="BA14" s="13"/>
      <c r="BB14" s="13" t="s">
        <v>68</v>
      </c>
      <c r="BC14" s="13">
        <v>0.76739999999999997</v>
      </c>
      <c r="BD14" s="13"/>
      <c r="BE14" s="13"/>
      <c r="BF14" s="13" t="s">
        <v>68</v>
      </c>
      <c r="BG14" s="13">
        <v>0.80900000000000005</v>
      </c>
      <c r="BH14" s="13"/>
      <c r="BI14" s="13"/>
      <c r="BJ14" s="13" t="s">
        <v>68</v>
      </c>
      <c r="BK14" s="13">
        <v>0.48110000000000003</v>
      </c>
      <c r="BL14" s="13"/>
      <c r="BM14" s="13"/>
      <c r="BN14" s="13" t="s">
        <v>68</v>
      </c>
      <c r="BO14" s="13">
        <v>0.97119999999999995</v>
      </c>
      <c r="BP14" s="13"/>
      <c r="BQ14" s="13"/>
      <c r="BR14" s="13" t="s">
        <v>68</v>
      </c>
      <c r="BS14" s="13">
        <v>0.96699999999999997</v>
      </c>
      <c r="BT14" s="13"/>
      <c r="BU14" s="13"/>
      <c r="BV14" s="13" t="s">
        <v>68</v>
      </c>
      <c r="BW14" s="13">
        <v>0.92049999999999998</v>
      </c>
      <c r="BX14" s="13"/>
      <c r="BY14" s="13"/>
    </row>
    <row r="15" spans="1:77" ht="15.6" thickTop="1" thickBot="1" x14ac:dyDescent="0.35">
      <c r="A15" s="14" t="s">
        <v>70</v>
      </c>
      <c r="B15" s="15">
        <v>2016</v>
      </c>
      <c r="C15" s="15">
        <v>17043727</v>
      </c>
      <c r="D15" s="15">
        <v>2026</v>
      </c>
      <c r="E15" s="16">
        <f t="shared" si="1"/>
        <v>11.887071413429704</v>
      </c>
      <c r="F15" s="17">
        <f t="shared" si="2"/>
        <v>2.4754513736720121</v>
      </c>
      <c r="G15" s="18">
        <v>1.9699999999999999E-2</v>
      </c>
      <c r="H15" s="19">
        <f t="shared" si="7"/>
        <v>1.9895325529217578</v>
      </c>
      <c r="I15" s="20">
        <f>(EXP(-0.003) - 1) * 100</f>
        <v>-0.29955044966269995</v>
      </c>
      <c r="J15" s="20">
        <f>(EXP(0.043) - 1) * 100</f>
        <v>4.3937894850612613</v>
      </c>
      <c r="K15" s="18">
        <v>7.4800000000000005E-2</v>
      </c>
      <c r="L15" s="15">
        <v>8927563</v>
      </c>
      <c r="M15" s="15">
        <v>1373</v>
      </c>
      <c r="N15" s="16">
        <f t="shared" si="3"/>
        <v>15.379337003838561</v>
      </c>
      <c r="O15" s="17">
        <f t="shared" si="4"/>
        <v>2.7330248554655365</v>
      </c>
      <c r="P15" s="18">
        <v>2.4E-2</v>
      </c>
      <c r="Q15" s="19">
        <f t="shared" ref="Q15" si="10">(EXP(P15)-1)*100</f>
        <v>2.4290317890621527</v>
      </c>
      <c r="R15" s="20">
        <f>(EXP(0) - 1) * 100</f>
        <v>0</v>
      </c>
      <c r="S15" s="20">
        <f>(EXP(0.048) - 1) * 100</f>
        <v>4.9170655324470625</v>
      </c>
      <c r="T15" s="44">
        <v>5.1200000000000002E-2</v>
      </c>
      <c r="U15" s="15">
        <v>8116164</v>
      </c>
      <c r="V15" s="15">
        <v>653</v>
      </c>
      <c r="W15" s="16">
        <f t="shared" si="5"/>
        <v>8.0456728079915596</v>
      </c>
      <c r="X15" s="17">
        <f t="shared" si="6"/>
        <v>2.0851344075244542</v>
      </c>
      <c r="Y15" s="18">
        <v>1.03E-2</v>
      </c>
      <c r="Z15" s="19">
        <f>(EXP(Y15)-1)*100</f>
        <v>1.035322759109647</v>
      </c>
      <c r="AA15" s="20">
        <f>(EXP(-0.016) - 1) * 100</f>
        <v>-1.5872679944714863</v>
      </c>
      <c r="AB15" s="20">
        <f>(EXP(0.036) - 1) * 100</f>
        <v>3.6655846490923683</v>
      </c>
      <c r="AC15" s="45">
        <v>0.33400000000000002</v>
      </c>
      <c r="AD15" s="22" t="s">
        <v>71</v>
      </c>
      <c r="AE15" s="13" t="s">
        <v>72</v>
      </c>
      <c r="AF15" s="13" t="s">
        <v>73</v>
      </c>
      <c r="AG15" s="13" t="s">
        <v>74</v>
      </c>
      <c r="AH15" s="13" t="s">
        <v>71</v>
      </c>
      <c r="AI15" s="13">
        <v>2.762</v>
      </c>
      <c r="AJ15" s="13" t="s">
        <v>75</v>
      </c>
      <c r="AK15" s="13" t="s">
        <v>74</v>
      </c>
      <c r="AL15" s="13" t="s">
        <v>71</v>
      </c>
      <c r="AM15" s="27">
        <v>2.3079999999999998</v>
      </c>
      <c r="AN15" s="28" t="s">
        <v>76</v>
      </c>
      <c r="AO15" s="29" t="s">
        <v>74</v>
      </c>
      <c r="AP15" s="22" t="s">
        <v>71</v>
      </c>
      <c r="AQ15" s="27">
        <v>2.2713000000000001</v>
      </c>
      <c r="AR15" s="28" t="s">
        <v>77</v>
      </c>
      <c r="AS15" s="13" t="s">
        <v>74</v>
      </c>
      <c r="AT15" s="13" t="s">
        <v>71</v>
      </c>
      <c r="AU15" s="13">
        <v>2.5047000000000001</v>
      </c>
      <c r="AV15" s="13" t="s">
        <v>78</v>
      </c>
      <c r="AW15" s="13" t="s">
        <v>74</v>
      </c>
      <c r="AX15" s="13" t="s">
        <v>71</v>
      </c>
      <c r="AY15" s="13">
        <v>1.9527000000000001</v>
      </c>
      <c r="AZ15" s="13" t="s">
        <v>79</v>
      </c>
      <c r="BA15" s="13" t="s">
        <v>74</v>
      </c>
      <c r="BB15" s="13" t="s">
        <v>71</v>
      </c>
      <c r="BC15" s="13">
        <v>2.4260000000000002</v>
      </c>
      <c r="BD15" s="13" t="s">
        <v>80</v>
      </c>
      <c r="BE15" s="13" t="s">
        <v>74</v>
      </c>
      <c r="BF15" s="13" t="s">
        <v>71</v>
      </c>
      <c r="BG15" s="13">
        <v>2.6760000000000002</v>
      </c>
      <c r="BH15" s="13" t="s">
        <v>81</v>
      </c>
      <c r="BI15" s="13" t="s">
        <v>74</v>
      </c>
      <c r="BJ15" s="13" t="s">
        <v>71</v>
      </c>
      <c r="BK15" s="13">
        <v>2.044</v>
      </c>
      <c r="BL15" s="13" t="s">
        <v>82</v>
      </c>
      <c r="BM15" s="13" t="s">
        <v>74</v>
      </c>
      <c r="BN15" s="13" t="s">
        <v>71</v>
      </c>
      <c r="BO15" s="13">
        <v>2.4106999999999998</v>
      </c>
      <c r="BP15" s="13" t="s">
        <v>83</v>
      </c>
      <c r="BQ15" s="13" t="s">
        <v>74</v>
      </c>
      <c r="BR15" s="13" t="s">
        <v>71</v>
      </c>
      <c r="BS15" s="13">
        <v>2.6459999999999999</v>
      </c>
      <c r="BT15" s="13" t="s">
        <v>84</v>
      </c>
      <c r="BU15" s="13" t="s">
        <v>74</v>
      </c>
      <c r="BV15" s="13" t="s">
        <v>71</v>
      </c>
      <c r="BW15" s="13">
        <v>2.0886999999999998</v>
      </c>
      <c r="BX15" s="13" t="s">
        <v>85</v>
      </c>
      <c r="BY15" s="13" t="s">
        <v>74</v>
      </c>
    </row>
    <row r="16" spans="1:77" ht="15.6" thickTop="1" thickBot="1" x14ac:dyDescent="0.35">
      <c r="A16" s="23"/>
      <c r="B16" s="15">
        <v>2017</v>
      </c>
      <c r="C16" s="15">
        <v>17100398</v>
      </c>
      <c r="D16" s="15">
        <v>1914</v>
      </c>
      <c r="E16" s="16">
        <f t="shared" si="1"/>
        <v>11.192721947173393</v>
      </c>
      <c r="F16" s="17">
        <f t="shared" si="2"/>
        <v>2.4152637409272937</v>
      </c>
      <c r="G16" s="24"/>
      <c r="H16" s="19"/>
      <c r="I16" s="25"/>
      <c r="J16" s="25"/>
      <c r="K16" s="24"/>
      <c r="L16" s="15">
        <v>8957908</v>
      </c>
      <c r="M16" s="15">
        <v>1307</v>
      </c>
      <c r="N16" s="16">
        <f t="shared" si="3"/>
        <v>14.590460183337449</v>
      </c>
      <c r="O16" s="17">
        <f t="shared" si="4"/>
        <v>2.6803679030473933</v>
      </c>
      <c r="P16" s="24"/>
      <c r="Q16" s="19"/>
      <c r="R16" s="25"/>
      <c r="S16" s="25"/>
      <c r="T16" s="46"/>
      <c r="U16" s="15">
        <v>8142490</v>
      </c>
      <c r="V16" s="15">
        <v>606</v>
      </c>
      <c r="W16" s="16">
        <f t="shared" si="5"/>
        <v>7.4424408258407446</v>
      </c>
      <c r="X16" s="17">
        <f t="shared" si="6"/>
        <v>2.0071988630318121</v>
      </c>
      <c r="Y16" s="24"/>
      <c r="Z16" s="19"/>
      <c r="AA16" s="25"/>
      <c r="AB16" s="25"/>
      <c r="AC16" s="47"/>
      <c r="AD16" s="22" t="s">
        <v>86</v>
      </c>
      <c r="AE16" s="13" t="s">
        <v>87</v>
      </c>
      <c r="AF16" s="13" t="s">
        <v>88</v>
      </c>
      <c r="AG16" s="13" t="s">
        <v>89</v>
      </c>
      <c r="AH16" s="13" t="s">
        <v>86</v>
      </c>
      <c r="AI16" s="13">
        <v>7.4300000000000005E-2</v>
      </c>
      <c r="AJ16" s="13" t="s">
        <v>90</v>
      </c>
      <c r="AK16" s="13" t="s">
        <v>91</v>
      </c>
      <c r="AL16" s="13" t="s">
        <v>86</v>
      </c>
      <c r="AM16" s="27">
        <v>6.2E-2</v>
      </c>
      <c r="AN16" s="28" t="s">
        <v>92</v>
      </c>
      <c r="AO16" s="29" t="s">
        <v>93</v>
      </c>
      <c r="AP16" s="22" t="s">
        <v>86</v>
      </c>
      <c r="AQ16" s="27">
        <v>6.7699999999999996E-2</v>
      </c>
      <c r="AR16" s="28" t="s">
        <v>94</v>
      </c>
      <c r="AS16" s="13" t="s">
        <v>95</v>
      </c>
      <c r="AT16" s="13" t="s">
        <v>86</v>
      </c>
      <c r="AU16" s="13">
        <v>6.4899999999999999E-2</v>
      </c>
      <c r="AV16" s="13" t="s">
        <v>96</v>
      </c>
      <c r="AW16" s="13" t="s">
        <v>53</v>
      </c>
      <c r="AX16" s="13" t="s">
        <v>86</v>
      </c>
      <c r="AY16" s="13">
        <v>7.3999999999999996E-2</v>
      </c>
      <c r="AZ16" s="13" t="s">
        <v>97</v>
      </c>
      <c r="BA16" s="13" t="s">
        <v>98</v>
      </c>
      <c r="BB16" s="13" t="s">
        <v>86</v>
      </c>
      <c r="BC16" s="13">
        <v>1.9699999999999999E-2</v>
      </c>
      <c r="BD16" s="13" t="s">
        <v>99</v>
      </c>
      <c r="BE16" s="13" t="s">
        <v>100</v>
      </c>
      <c r="BF16" s="13" t="s">
        <v>86</v>
      </c>
      <c r="BG16" s="13">
        <v>2.4E-2</v>
      </c>
      <c r="BH16" s="13" t="s">
        <v>101</v>
      </c>
      <c r="BI16" s="13" t="s">
        <v>102</v>
      </c>
      <c r="BJ16" s="13" t="s">
        <v>86</v>
      </c>
      <c r="BK16" s="13">
        <v>1.03E-2</v>
      </c>
      <c r="BL16" s="13" t="s">
        <v>103</v>
      </c>
      <c r="BM16" s="13" t="s">
        <v>104</v>
      </c>
      <c r="BN16" s="13" t="s">
        <v>86</v>
      </c>
      <c r="BO16" s="13">
        <v>4.8899999999999999E-2</v>
      </c>
      <c r="BP16" s="13" t="s">
        <v>105</v>
      </c>
      <c r="BQ16" s="13" t="s">
        <v>106</v>
      </c>
      <c r="BR16" s="13" t="s">
        <v>86</v>
      </c>
      <c r="BS16" s="13">
        <v>5.11E-2</v>
      </c>
      <c r="BT16" s="13" t="s">
        <v>107</v>
      </c>
      <c r="BU16" s="13" t="s">
        <v>108</v>
      </c>
      <c r="BV16" s="13" t="s">
        <v>86</v>
      </c>
      <c r="BW16" s="13">
        <v>4.2299999999999997E-2</v>
      </c>
      <c r="BX16" s="13" t="s">
        <v>109</v>
      </c>
      <c r="BY16" s="13" t="s">
        <v>110</v>
      </c>
    </row>
    <row r="17" spans="1:77" ht="15.6" thickTop="1" thickBot="1" x14ac:dyDescent="0.35">
      <c r="A17" s="23"/>
      <c r="B17" s="15">
        <v>2018</v>
      </c>
      <c r="C17" s="15">
        <v>17148943</v>
      </c>
      <c r="D17" s="15">
        <v>2053</v>
      </c>
      <c r="E17" s="16">
        <f t="shared" si="1"/>
        <v>11.971583321491011</v>
      </c>
      <c r="F17" s="17">
        <f t="shared" si="2"/>
        <v>2.4825357849653704</v>
      </c>
      <c r="G17" s="24"/>
      <c r="H17" s="19"/>
      <c r="I17" s="25"/>
      <c r="J17" s="25"/>
      <c r="K17" s="24"/>
      <c r="L17" s="15">
        <v>8984322</v>
      </c>
      <c r="M17" s="15">
        <v>1412</v>
      </c>
      <c r="N17" s="16">
        <f t="shared" si="3"/>
        <v>15.716266625350247</v>
      </c>
      <c r="O17" s="17">
        <f t="shared" si="4"/>
        <v>2.7546962667692978</v>
      </c>
      <c r="P17" s="24"/>
      <c r="Q17" s="19"/>
      <c r="R17" s="25"/>
      <c r="S17" s="25"/>
      <c r="T17" s="46"/>
      <c r="U17" s="15">
        <v>8164621</v>
      </c>
      <c r="V17" s="15">
        <v>641</v>
      </c>
      <c r="W17" s="16">
        <f t="shared" si="5"/>
        <v>7.8509461737415611</v>
      </c>
      <c r="X17" s="17">
        <f t="shared" si="6"/>
        <v>2.0606340562177801</v>
      </c>
      <c r="Y17" s="24"/>
      <c r="Z17" s="19"/>
      <c r="AA17" s="25"/>
      <c r="AB17" s="25"/>
      <c r="AC17" s="47"/>
      <c r="AD17" s="22" t="s">
        <v>111</v>
      </c>
      <c r="AE17" s="13" t="s">
        <v>112</v>
      </c>
      <c r="AF17" s="13"/>
      <c r="AG17" s="13"/>
      <c r="AH17" s="13" t="s">
        <v>111</v>
      </c>
      <c r="AI17" s="13" t="s">
        <v>113</v>
      </c>
      <c r="AJ17" s="13"/>
      <c r="AK17" s="13"/>
      <c r="AL17" s="13" t="s">
        <v>111</v>
      </c>
      <c r="AM17" s="27" t="s">
        <v>114</v>
      </c>
      <c r="AN17" s="28"/>
      <c r="AO17" s="29"/>
      <c r="AP17" s="22" t="s">
        <v>111</v>
      </c>
      <c r="AQ17" s="27" t="s">
        <v>115</v>
      </c>
      <c r="AR17" s="28"/>
      <c r="AS17" s="13"/>
      <c r="AT17" s="13" t="s">
        <v>111</v>
      </c>
      <c r="AU17" s="13" t="s">
        <v>116</v>
      </c>
      <c r="AV17" s="13"/>
      <c r="AW17" s="13"/>
      <c r="AX17" s="13" t="s">
        <v>111</v>
      </c>
      <c r="AY17" s="13" t="s">
        <v>117</v>
      </c>
      <c r="AZ17" s="13"/>
      <c r="BA17" s="13"/>
      <c r="BB17" s="13" t="s">
        <v>111</v>
      </c>
      <c r="BC17" s="13" t="s">
        <v>118</v>
      </c>
      <c r="BD17" s="13"/>
      <c r="BE17" s="13"/>
      <c r="BF17" s="13" t="s">
        <v>111</v>
      </c>
      <c r="BG17" s="13" t="s">
        <v>119</v>
      </c>
      <c r="BH17" s="13"/>
      <c r="BI17" s="13"/>
      <c r="BJ17" s="13" t="s">
        <v>111</v>
      </c>
      <c r="BK17" s="13" t="s">
        <v>120</v>
      </c>
      <c r="BL17" s="13"/>
      <c r="BM17" s="13"/>
      <c r="BN17" s="13" t="s">
        <v>111</v>
      </c>
      <c r="BO17" s="13" t="s">
        <v>121</v>
      </c>
      <c r="BP17" s="13"/>
      <c r="BQ17" s="13"/>
      <c r="BR17" s="13" t="s">
        <v>111</v>
      </c>
      <c r="BS17" s="13" t="s">
        <v>122</v>
      </c>
      <c r="BT17" s="13"/>
      <c r="BU17" s="13"/>
      <c r="BV17" s="13" t="s">
        <v>111</v>
      </c>
      <c r="BW17" s="13" t="s">
        <v>123</v>
      </c>
      <c r="BX17" s="13"/>
      <c r="BY17" s="13"/>
    </row>
    <row r="18" spans="1:77" ht="15.6" thickTop="1" thickBot="1" x14ac:dyDescent="0.35">
      <c r="A18" s="23"/>
      <c r="B18" s="15">
        <v>2019</v>
      </c>
      <c r="C18" s="15">
        <v>17193919</v>
      </c>
      <c r="D18" s="15">
        <v>2159</v>
      </c>
      <c r="E18" s="16">
        <f t="shared" si="1"/>
        <v>12.556764981852012</v>
      </c>
      <c r="F18" s="17">
        <f t="shared" si="2"/>
        <v>2.5302595627252846</v>
      </c>
      <c r="G18" s="24"/>
      <c r="H18" s="19"/>
      <c r="I18" s="25"/>
      <c r="J18" s="25"/>
      <c r="K18" s="24"/>
      <c r="L18" s="15">
        <v>9009223</v>
      </c>
      <c r="M18" s="15">
        <v>1479</v>
      </c>
      <c r="N18" s="16">
        <f t="shared" si="3"/>
        <v>16.416510058636575</v>
      </c>
      <c r="O18" s="17">
        <f t="shared" si="4"/>
        <v>2.7982875393290492</v>
      </c>
      <c r="P18" s="24"/>
      <c r="Q18" s="19"/>
      <c r="R18" s="25"/>
      <c r="S18" s="25"/>
      <c r="T18" s="46"/>
      <c r="U18" s="15">
        <v>8184696</v>
      </c>
      <c r="V18" s="15">
        <v>680</v>
      </c>
      <c r="W18" s="16">
        <f t="shared" si="5"/>
        <v>8.3081888441549943</v>
      </c>
      <c r="X18" s="17">
        <f t="shared" si="6"/>
        <v>2.1172416361545467</v>
      </c>
      <c r="Y18" s="24"/>
      <c r="Z18" s="19"/>
      <c r="AA18" s="25"/>
      <c r="AB18" s="25"/>
      <c r="AC18" s="47"/>
      <c r="AD18" s="22" t="s">
        <v>124</v>
      </c>
      <c r="AE18" s="13" t="s">
        <v>125</v>
      </c>
      <c r="AF18" s="13"/>
      <c r="AG18" s="13"/>
      <c r="AH18" s="13" t="s">
        <v>124</v>
      </c>
      <c r="AI18" s="13" t="s">
        <v>126</v>
      </c>
      <c r="AJ18" s="13"/>
      <c r="AK18" s="13"/>
      <c r="AL18" s="13" t="s">
        <v>124</v>
      </c>
      <c r="AM18" s="27" t="s">
        <v>127</v>
      </c>
      <c r="AN18" s="28"/>
      <c r="AO18" s="29"/>
      <c r="AP18" s="22" t="s">
        <v>124</v>
      </c>
      <c r="AQ18" s="27" t="s">
        <v>128</v>
      </c>
      <c r="AR18" s="28"/>
      <c r="AS18" s="13"/>
      <c r="AT18" s="13" t="s">
        <v>124</v>
      </c>
      <c r="AU18" s="13" t="s">
        <v>129</v>
      </c>
      <c r="AV18" s="13"/>
      <c r="AW18" s="13"/>
      <c r="AX18" s="13" t="s">
        <v>124</v>
      </c>
      <c r="AY18" s="13" t="s">
        <v>130</v>
      </c>
      <c r="AZ18" s="13"/>
      <c r="BA18" s="13"/>
      <c r="BB18" s="13" t="s">
        <v>124</v>
      </c>
      <c r="BC18" s="13" t="s">
        <v>131</v>
      </c>
      <c r="BD18" s="13"/>
      <c r="BE18" s="13"/>
      <c r="BF18" s="13" t="s">
        <v>124</v>
      </c>
      <c r="BG18" s="13" t="s">
        <v>132</v>
      </c>
      <c r="BH18" s="13"/>
      <c r="BI18" s="13"/>
      <c r="BJ18" s="13" t="s">
        <v>124</v>
      </c>
      <c r="BK18" s="13" t="s">
        <v>133</v>
      </c>
      <c r="BL18" s="13"/>
      <c r="BM18" s="13"/>
      <c r="BN18" s="13" t="s">
        <v>124</v>
      </c>
      <c r="BO18" s="13" t="s">
        <v>134</v>
      </c>
      <c r="BP18" s="13"/>
      <c r="BQ18" s="13"/>
      <c r="BR18" s="13" t="s">
        <v>124</v>
      </c>
      <c r="BS18" s="13" t="s">
        <v>135</v>
      </c>
      <c r="BT18" s="13"/>
      <c r="BU18" s="13"/>
      <c r="BV18" s="13" t="s">
        <v>124</v>
      </c>
      <c r="BW18" s="13" t="s">
        <v>136</v>
      </c>
      <c r="BX18" s="13"/>
      <c r="BY18" s="13"/>
    </row>
    <row r="19" spans="1:77" ht="15.6" thickTop="1" thickBot="1" x14ac:dyDescent="0.35">
      <c r="A19" s="23"/>
      <c r="B19" s="15">
        <v>2020</v>
      </c>
      <c r="C19" s="15">
        <v>17222305</v>
      </c>
      <c r="D19" s="15">
        <v>2104</v>
      </c>
      <c r="E19" s="16">
        <f t="shared" si="1"/>
        <v>12.21671547449659</v>
      </c>
      <c r="F19" s="17">
        <f t="shared" si="2"/>
        <v>2.5028051348404654</v>
      </c>
      <c r="G19" s="24"/>
      <c r="H19" s="19"/>
      <c r="I19" s="25"/>
      <c r="J19" s="25"/>
      <c r="K19" s="24"/>
      <c r="L19" s="15">
        <v>9026959</v>
      </c>
      <c r="M19" s="15">
        <v>1430</v>
      </c>
      <c r="N19" s="16">
        <f t="shared" si="3"/>
        <v>15.841436745198466</v>
      </c>
      <c r="O19" s="17">
        <f t="shared" si="4"/>
        <v>2.7626290858839702</v>
      </c>
      <c r="P19" s="24"/>
      <c r="Q19" s="19"/>
      <c r="R19" s="25"/>
      <c r="S19" s="25"/>
      <c r="T19" s="46"/>
      <c r="U19" s="15">
        <v>8195346</v>
      </c>
      <c r="V19" s="15">
        <v>674</v>
      </c>
      <c r="W19" s="16">
        <f t="shared" si="5"/>
        <v>8.2241799187001998</v>
      </c>
      <c r="X19" s="17">
        <f t="shared" si="6"/>
        <v>2.1070785857473622</v>
      </c>
      <c r="Y19" s="24"/>
      <c r="Z19" s="19"/>
      <c r="AA19" s="25"/>
      <c r="AB19" s="25"/>
      <c r="AC19" s="47"/>
      <c r="AD19" s="22" t="s">
        <v>137</v>
      </c>
      <c r="AE19" s="13" t="s">
        <v>138</v>
      </c>
      <c r="AF19" s="13"/>
      <c r="AG19" s="13"/>
      <c r="AH19" s="13" t="s">
        <v>137</v>
      </c>
      <c r="AI19" s="13" t="s">
        <v>138</v>
      </c>
      <c r="AJ19" s="13"/>
      <c r="AK19" s="13"/>
      <c r="AL19" s="13" t="s">
        <v>137</v>
      </c>
      <c r="AM19" s="27" t="s">
        <v>138</v>
      </c>
      <c r="AN19" s="28"/>
      <c r="AO19" s="29"/>
      <c r="AP19" s="22" t="s">
        <v>137</v>
      </c>
      <c r="AQ19" s="27" t="s">
        <v>138</v>
      </c>
      <c r="AR19" s="28"/>
      <c r="AS19" s="13"/>
      <c r="AT19" s="13" t="s">
        <v>137</v>
      </c>
      <c r="AU19" s="13" t="s">
        <v>138</v>
      </c>
      <c r="AV19" s="13"/>
      <c r="AW19" s="13"/>
      <c r="AX19" s="13" t="s">
        <v>137</v>
      </c>
      <c r="AY19" s="13" t="s">
        <v>138</v>
      </c>
      <c r="AZ19" s="13"/>
      <c r="BA19" s="13"/>
      <c r="BB19" s="13" t="s">
        <v>137</v>
      </c>
      <c r="BC19" s="13" t="s">
        <v>138</v>
      </c>
      <c r="BD19" s="13"/>
      <c r="BE19" s="13"/>
      <c r="BF19" s="13" t="s">
        <v>137</v>
      </c>
      <c r="BG19" s="13" t="s">
        <v>138</v>
      </c>
      <c r="BH19" s="13"/>
      <c r="BI19" s="13"/>
      <c r="BJ19" s="13" t="s">
        <v>137</v>
      </c>
      <c r="BK19" s="13" t="s">
        <v>138</v>
      </c>
      <c r="BL19" s="13"/>
      <c r="BM19" s="13"/>
      <c r="BN19" s="13" t="s">
        <v>137</v>
      </c>
      <c r="BO19" s="13" t="s">
        <v>138</v>
      </c>
      <c r="BP19" s="13"/>
      <c r="BQ19" s="13"/>
      <c r="BR19" s="13" t="s">
        <v>137</v>
      </c>
      <c r="BS19" s="13" t="s">
        <v>138</v>
      </c>
      <c r="BT19" s="13"/>
      <c r="BU19" s="13"/>
      <c r="BV19" s="13" t="s">
        <v>137</v>
      </c>
      <c r="BW19" s="13" t="s">
        <v>138</v>
      </c>
      <c r="BX19" s="13"/>
      <c r="BY19" s="13"/>
    </row>
    <row r="20" spans="1:77" ht="15.6" thickTop="1" thickBot="1" x14ac:dyDescent="0.35">
      <c r="A20" s="30"/>
      <c r="B20" s="15">
        <v>2021</v>
      </c>
      <c r="C20" s="15">
        <v>17220455</v>
      </c>
      <c r="D20" s="15">
        <v>2218</v>
      </c>
      <c r="E20" s="16">
        <f t="shared" si="1"/>
        <v>12.880031334828262</v>
      </c>
      <c r="F20" s="17">
        <f t="shared" si="2"/>
        <v>2.5556781535015296</v>
      </c>
      <c r="G20" s="31"/>
      <c r="H20" s="19"/>
      <c r="I20" s="32"/>
      <c r="J20" s="32"/>
      <c r="K20" s="31"/>
      <c r="L20" s="15">
        <v>9030040</v>
      </c>
      <c r="M20" s="15">
        <v>1553</v>
      </c>
      <c r="N20" s="16">
        <f t="shared" si="3"/>
        <v>17.198151946170782</v>
      </c>
      <c r="O20" s="17">
        <f t="shared" si="4"/>
        <v>2.84480193305671</v>
      </c>
      <c r="P20" s="31"/>
      <c r="Q20" s="19"/>
      <c r="R20" s="32"/>
      <c r="S20" s="32"/>
      <c r="T20" s="48"/>
      <c r="U20" s="15">
        <v>8190415</v>
      </c>
      <c r="V20" s="15">
        <v>665</v>
      </c>
      <c r="W20" s="16">
        <f t="shared" si="5"/>
        <v>8.1192467048373</v>
      </c>
      <c r="X20" s="17">
        <f t="shared" si="6"/>
        <v>2.0942373795299183</v>
      </c>
      <c r="Y20" s="31"/>
      <c r="Z20" s="19"/>
      <c r="AA20" s="32"/>
      <c r="AB20" s="32"/>
      <c r="AC20" s="48"/>
      <c r="AD20" s="49"/>
      <c r="AM20" s="50"/>
      <c r="AN20" s="51"/>
      <c r="AO20" s="52"/>
      <c r="AP20" s="49"/>
      <c r="AQ20" s="50"/>
      <c r="AR20" s="51"/>
    </row>
    <row r="21" spans="1:77" ht="15.6" thickTop="1" thickBot="1" x14ac:dyDescent="0.35">
      <c r="A21" s="34" t="s">
        <v>139</v>
      </c>
      <c r="B21" s="35">
        <v>2016</v>
      </c>
      <c r="C21" s="35">
        <v>44530110</v>
      </c>
      <c r="D21" s="35">
        <v>5322</v>
      </c>
      <c r="E21" s="16">
        <f t="shared" si="1"/>
        <v>11.951463852211459</v>
      </c>
      <c r="F21" s="17">
        <f t="shared" si="2"/>
        <v>2.4808537689682502</v>
      </c>
      <c r="G21" s="18">
        <v>4.8899999999999999E-2</v>
      </c>
      <c r="H21" s="19">
        <f t="shared" si="7"/>
        <v>5.0115333955880859</v>
      </c>
      <c r="I21" s="20">
        <f>(EXP(0.032) - 1) * 100</f>
        <v>3.2517505305118322</v>
      </c>
      <c r="J21" s="20">
        <f>(EXP(0.065) - 1) * 100</f>
        <v>6.7159024384192634</v>
      </c>
      <c r="K21" s="36">
        <v>1.1999999999999999E-3</v>
      </c>
      <c r="L21" s="35">
        <v>22914734</v>
      </c>
      <c r="M21" s="35">
        <v>3438</v>
      </c>
      <c r="N21" s="16">
        <f t="shared" si="3"/>
        <v>15.003447127075532</v>
      </c>
      <c r="O21" s="17">
        <f t="shared" si="4"/>
        <v>2.7082799831719901</v>
      </c>
      <c r="P21" s="18">
        <v>5.11E-2</v>
      </c>
      <c r="Q21" s="19">
        <f t="shared" ref="Q21" si="11">(EXP(P21)-1)*100</f>
        <v>5.2428130834322184</v>
      </c>
      <c r="R21" s="20">
        <f>(EXP(0.032) - 1) * 100</f>
        <v>3.2517505305118322</v>
      </c>
      <c r="S21" s="20">
        <f>(EXP(0.07) - 1) * 100</f>
        <v>7.2508181254216542</v>
      </c>
      <c r="T21" s="36">
        <v>1.6000000000000001E-3</v>
      </c>
      <c r="U21" s="35">
        <v>21615376</v>
      </c>
      <c r="V21" s="35">
        <v>1884</v>
      </c>
      <c r="W21" s="16">
        <f t="shared" si="5"/>
        <v>8.7160177088753858</v>
      </c>
      <c r="X21" s="17">
        <f t="shared" si="6"/>
        <v>2.1651624488466457</v>
      </c>
      <c r="Y21" s="36">
        <v>4.2299999999999997E-2</v>
      </c>
      <c r="Z21" s="19">
        <f t="shared" si="9"/>
        <v>4.3207394029333379</v>
      </c>
      <c r="AA21" s="20">
        <f>(EXP(0.017) - 1) * 100</f>
        <v>1.7145322325240686</v>
      </c>
      <c r="AB21" s="20">
        <f>(EXP(0.067) - 1) * 100</f>
        <v>6.9295478174600245</v>
      </c>
      <c r="AC21" s="36">
        <v>9.1999999999999998E-3</v>
      </c>
      <c r="AD21" s="49"/>
      <c r="AM21" s="50"/>
      <c r="AN21" s="51"/>
      <c r="AO21" s="52"/>
      <c r="AP21" s="49"/>
      <c r="AQ21" s="50"/>
      <c r="AR21" s="51"/>
    </row>
    <row r="22" spans="1:77" ht="15.6" thickTop="1" thickBot="1" x14ac:dyDescent="0.35">
      <c r="A22" s="38"/>
      <c r="B22" s="35">
        <v>2017</v>
      </c>
      <c r="C22" s="35">
        <v>44809066</v>
      </c>
      <c r="D22" s="35">
        <v>5469</v>
      </c>
      <c r="E22" s="16">
        <f t="shared" si="1"/>
        <v>12.205119383653299</v>
      </c>
      <c r="F22" s="17">
        <f t="shared" si="2"/>
        <v>2.5018554853336106</v>
      </c>
      <c r="G22" s="24"/>
      <c r="H22" s="19"/>
      <c r="I22" s="25"/>
      <c r="J22" s="25"/>
      <c r="K22" s="39"/>
      <c r="L22" s="35">
        <v>23060672</v>
      </c>
      <c r="M22" s="35">
        <v>3651</v>
      </c>
      <c r="N22" s="16">
        <f t="shared" si="3"/>
        <v>15.832149210569407</v>
      </c>
      <c r="O22" s="17">
        <f t="shared" si="4"/>
        <v>2.7620426328749415</v>
      </c>
      <c r="P22" s="24"/>
      <c r="Q22" s="19"/>
      <c r="R22" s="25"/>
      <c r="S22" s="25"/>
      <c r="T22" s="39"/>
      <c r="U22" s="35">
        <v>21748394</v>
      </c>
      <c r="V22" s="35">
        <v>1817</v>
      </c>
      <c r="W22" s="16">
        <f t="shared" si="5"/>
        <v>8.354639887432608</v>
      </c>
      <c r="X22" s="17">
        <f t="shared" si="6"/>
        <v>2.1228170596741314</v>
      </c>
      <c r="Y22" s="39"/>
      <c r="Z22" s="19"/>
      <c r="AA22" s="25"/>
      <c r="AB22" s="25"/>
      <c r="AC22" s="39"/>
      <c r="AD22" s="49"/>
      <c r="AM22" s="50"/>
      <c r="AN22" s="51"/>
      <c r="AO22" s="52"/>
      <c r="AP22" s="52"/>
      <c r="AQ22" s="50"/>
      <c r="AR22" s="51"/>
    </row>
    <row r="23" spans="1:77" ht="15.6" thickTop="1" thickBot="1" x14ac:dyDescent="0.35">
      <c r="A23" s="38"/>
      <c r="B23" s="35">
        <v>2018</v>
      </c>
      <c r="C23" s="35">
        <v>45062167</v>
      </c>
      <c r="D23" s="35">
        <v>5616</v>
      </c>
      <c r="E23" s="16">
        <f t="shared" si="1"/>
        <v>12.462782804031596</v>
      </c>
      <c r="F23" s="17">
        <f t="shared" si="2"/>
        <v>2.5227468274302152</v>
      </c>
      <c r="G23" s="24"/>
      <c r="H23" s="19"/>
      <c r="I23" s="25"/>
      <c r="J23" s="25"/>
      <c r="K23" s="39"/>
      <c r="L23" s="35">
        <v>23194258</v>
      </c>
      <c r="M23" s="35">
        <v>3635</v>
      </c>
      <c r="N23" s="16">
        <f t="shared" si="3"/>
        <v>15.671982263886175</v>
      </c>
      <c r="O23" s="17">
        <f t="shared" si="4"/>
        <v>2.7518745489344894</v>
      </c>
      <c r="P23" s="24"/>
      <c r="Q23" s="19"/>
      <c r="R23" s="25"/>
      <c r="S23" s="25"/>
      <c r="T23" s="39"/>
      <c r="U23" s="35">
        <v>21867909</v>
      </c>
      <c r="V23" s="35">
        <v>1980</v>
      </c>
      <c r="W23" s="16">
        <f t="shared" si="5"/>
        <v>9.0543636339441509</v>
      </c>
      <c r="X23" s="17">
        <f t="shared" si="6"/>
        <v>2.2032468110020669</v>
      </c>
      <c r="Y23" s="39"/>
      <c r="Z23" s="19"/>
      <c r="AA23" s="25"/>
      <c r="AB23" s="25"/>
      <c r="AC23" s="39"/>
      <c r="AD23" s="49"/>
      <c r="AM23" s="50"/>
      <c r="AN23" s="51"/>
      <c r="AO23" s="52"/>
      <c r="AP23" s="52"/>
      <c r="AQ23" s="50"/>
      <c r="AR23" s="51"/>
    </row>
    <row r="24" spans="1:77" ht="15.6" thickTop="1" thickBot="1" x14ac:dyDescent="0.35">
      <c r="A24" s="38"/>
      <c r="B24" s="35">
        <v>2019</v>
      </c>
      <c r="C24" s="35">
        <v>45306139</v>
      </c>
      <c r="D24" s="35">
        <v>6286</v>
      </c>
      <c r="E24" s="16">
        <f t="shared" si="1"/>
        <v>13.874499435937368</v>
      </c>
      <c r="F24" s="17">
        <f t="shared" si="2"/>
        <v>2.63005258229252</v>
      </c>
      <c r="G24" s="24"/>
      <c r="H24" s="19"/>
      <c r="I24" s="25"/>
      <c r="J24" s="25"/>
      <c r="K24" s="39"/>
      <c r="L24" s="35">
        <v>23323724</v>
      </c>
      <c r="M24" s="35">
        <v>4114</v>
      </c>
      <c r="N24" s="16">
        <f t="shared" si="3"/>
        <v>17.638692689040564</v>
      </c>
      <c r="O24" s="17">
        <f t="shared" si="4"/>
        <v>2.8700949372337115</v>
      </c>
      <c r="P24" s="24"/>
      <c r="Q24" s="19"/>
      <c r="R24" s="25"/>
      <c r="S24" s="25"/>
      <c r="T24" s="39"/>
      <c r="U24" s="35">
        <v>21982415</v>
      </c>
      <c r="V24" s="35">
        <v>2172</v>
      </c>
      <c r="W24" s="16">
        <f t="shared" si="5"/>
        <v>9.8806250359662489</v>
      </c>
      <c r="X24" s="17">
        <f t="shared" si="6"/>
        <v>2.2905757725083933</v>
      </c>
      <c r="Y24" s="39"/>
      <c r="Z24" s="19"/>
      <c r="AA24" s="25"/>
      <c r="AB24" s="25"/>
      <c r="AC24" s="39"/>
      <c r="AD24" s="49"/>
      <c r="AM24" s="50"/>
      <c r="AN24" s="51"/>
      <c r="AO24" s="52"/>
      <c r="AP24" s="52"/>
      <c r="AQ24" s="50"/>
      <c r="AR24" s="51"/>
    </row>
    <row r="25" spans="1:77" ht="15.6" thickTop="1" thickBot="1" x14ac:dyDescent="0.35">
      <c r="A25" s="38"/>
      <c r="B25" s="35">
        <v>2020</v>
      </c>
      <c r="C25" s="35">
        <v>45523191</v>
      </c>
      <c r="D25" s="35">
        <v>6453</v>
      </c>
      <c r="E25" s="16">
        <f t="shared" si="1"/>
        <v>14.175192595791451</v>
      </c>
      <c r="F25" s="17">
        <f t="shared" si="2"/>
        <v>2.6514934365262013</v>
      </c>
      <c r="G25" s="24"/>
      <c r="H25" s="19"/>
      <c r="I25" s="25"/>
      <c r="J25" s="25"/>
      <c r="K25" s="39"/>
      <c r="L25" s="35">
        <v>23442278</v>
      </c>
      <c r="M25" s="35">
        <v>4245</v>
      </c>
      <c r="N25" s="16">
        <f t="shared" si="3"/>
        <v>18.108308416101881</v>
      </c>
      <c r="O25" s="17">
        <f t="shared" si="4"/>
        <v>2.8963708614643369</v>
      </c>
      <c r="P25" s="24"/>
      <c r="Q25" s="19"/>
      <c r="R25" s="25"/>
      <c r="S25" s="25"/>
      <c r="T25" s="39"/>
      <c r="U25" s="35">
        <v>22080913</v>
      </c>
      <c r="V25" s="35">
        <v>2207</v>
      </c>
      <c r="W25" s="16">
        <f t="shared" si="5"/>
        <v>9.9950577224773269</v>
      </c>
      <c r="X25" s="17">
        <f t="shared" si="6"/>
        <v>2.3020907430709876</v>
      </c>
      <c r="Y25" s="39"/>
      <c r="Z25" s="19"/>
      <c r="AA25" s="25"/>
      <c r="AB25" s="25"/>
      <c r="AC25" s="39"/>
      <c r="AD25" s="49"/>
      <c r="AM25" s="50"/>
      <c r="AN25" s="51"/>
      <c r="AO25" s="52"/>
      <c r="AP25" s="52"/>
      <c r="AQ25" s="50"/>
      <c r="AR25" s="51"/>
    </row>
    <row r="26" spans="1:77" ht="15.6" thickTop="1" thickBot="1" x14ac:dyDescent="0.35">
      <c r="A26" s="41"/>
      <c r="B26" s="35">
        <v>2021</v>
      </c>
      <c r="C26" s="35">
        <v>45651915</v>
      </c>
      <c r="D26" s="35">
        <v>6844</v>
      </c>
      <c r="E26" s="16">
        <f t="shared" si="1"/>
        <v>14.991704071997855</v>
      </c>
      <c r="F26" s="17">
        <f t="shared" si="2"/>
        <v>2.7074969862402729</v>
      </c>
      <c r="G26" s="31"/>
      <c r="H26" s="19"/>
      <c r="I26" s="32"/>
      <c r="J26" s="32"/>
      <c r="K26" s="42"/>
      <c r="L26" s="35">
        <v>23521497</v>
      </c>
      <c r="M26" s="35">
        <v>4544</v>
      </c>
      <c r="N26" s="16">
        <f t="shared" si="3"/>
        <v>19.318498308164656</v>
      </c>
      <c r="O26" s="17">
        <f t="shared" si="4"/>
        <v>2.9610630984427773</v>
      </c>
      <c r="P26" s="31"/>
      <c r="Q26" s="19"/>
      <c r="R26" s="32"/>
      <c r="S26" s="32"/>
      <c r="T26" s="42"/>
      <c r="U26" s="35">
        <v>22130418</v>
      </c>
      <c r="V26" s="35">
        <v>2299</v>
      </c>
      <c r="W26" s="16">
        <f t="shared" si="5"/>
        <v>10.388416522453396</v>
      </c>
      <c r="X26" s="17">
        <f t="shared" si="6"/>
        <v>2.3406913894977559</v>
      </c>
      <c r="Y26" s="42"/>
      <c r="Z26" s="19"/>
      <c r="AA26" s="32"/>
      <c r="AB26" s="32"/>
      <c r="AC26" s="42"/>
      <c r="AD26" s="49"/>
      <c r="AM26" s="50"/>
      <c r="AN26" s="51"/>
      <c r="AO26" s="52"/>
      <c r="AP26" s="52"/>
      <c r="AQ26" s="50"/>
      <c r="AR26" s="51"/>
    </row>
    <row r="27" spans="1:77" x14ac:dyDescent="0.3">
      <c r="A27" s="50"/>
      <c r="B27" s="51"/>
      <c r="C27" s="52"/>
      <c r="D27" s="52"/>
      <c r="E27" s="50"/>
      <c r="F27" s="51"/>
      <c r="G27" s="51"/>
      <c r="H27" s="52"/>
      <c r="I27" s="52"/>
      <c r="J27" s="49"/>
      <c r="K27" s="50"/>
      <c r="L27" s="51"/>
      <c r="M27" s="52"/>
      <c r="N27" s="49"/>
      <c r="O27" s="13"/>
      <c r="P27" s="50"/>
      <c r="Q27" s="51"/>
      <c r="R27" s="51"/>
      <c r="S27" s="53"/>
      <c r="T27" s="52"/>
      <c r="U27" s="50"/>
      <c r="V27" s="51"/>
      <c r="W27" s="52"/>
      <c r="X27" s="49"/>
      <c r="Y27" s="49"/>
      <c r="Z27" s="13"/>
      <c r="AA27" s="50"/>
      <c r="AB27" s="51"/>
      <c r="AC27" s="52"/>
      <c r="AD27" s="49"/>
      <c r="AM27" s="50"/>
      <c r="AN27" s="51"/>
      <c r="AO27" s="52"/>
      <c r="AP27" s="52"/>
      <c r="AQ27" s="50"/>
      <c r="AR27" s="51"/>
    </row>
    <row r="28" spans="1:77" x14ac:dyDescent="0.3">
      <c r="H28" s="13"/>
    </row>
    <row r="33" spans="1:77" ht="15" thickBot="1" x14ac:dyDescent="0.35"/>
    <row r="34" spans="1:77" ht="15" thickBot="1" x14ac:dyDescent="0.35">
      <c r="A34" s="54"/>
      <c r="B34" s="55"/>
      <c r="C34" s="56" t="s">
        <v>140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8"/>
    </row>
    <row r="35" spans="1:77" ht="15" thickBot="1" x14ac:dyDescent="0.35">
      <c r="A35" s="1" t="s">
        <v>0</v>
      </c>
      <c r="B35" s="2"/>
      <c r="C35" s="1" t="s">
        <v>141</v>
      </c>
      <c r="D35" s="4"/>
      <c r="E35" s="4"/>
      <c r="F35" s="4"/>
      <c r="G35" s="4"/>
      <c r="H35" s="4"/>
      <c r="I35" s="4"/>
      <c r="J35" s="4"/>
      <c r="K35" s="2"/>
      <c r="L35" s="1" t="s">
        <v>142</v>
      </c>
      <c r="M35" s="4"/>
      <c r="N35" s="4"/>
      <c r="O35" s="4"/>
      <c r="P35" s="4"/>
      <c r="Q35" s="4"/>
      <c r="R35" s="4"/>
      <c r="S35" s="4"/>
      <c r="T35" s="2"/>
      <c r="U35" s="1" t="s">
        <v>143</v>
      </c>
      <c r="V35" s="4"/>
      <c r="W35" s="4"/>
      <c r="X35" s="4"/>
      <c r="Y35" s="4"/>
      <c r="Z35" s="4"/>
      <c r="AA35" s="4"/>
      <c r="AB35" s="4"/>
      <c r="AC35" s="2"/>
      <c r="AD35" s="5" t="s">
        <v>144</v>
      </c>
      <c r="AE35" s="6"/>
      <c r="AF35" s="6"/>
      <c r="AG35" s="7"/>
      <c r="AH35" s="5" t="s">
        <v>145</v>
      </c>
      <c r="AI35" s="6"/>
      <c r="AJ35" s="6"/>
      <c r="AK35" s="7"/>
      <c r="AL35" s="5" t="s">
        <v>146</v>
      </c>
      <c r="AM35" s="6"/>
      <c r="AN35" s="6"/>
      <c r="AO35" s="7"/>
      <c r="AP35" s="8" t="s">
        <v>147</v>
      </c>
      <c r="AQ35" s="8"/>
      <c r="AR35" s="8"/>
      <c r="AS35" s="8"/>
      <c r="AT35" s="8" t="s">
        <v>148</v>
      </c>
      <c r="AU35" s="8"/>
      <c r="AV35" s="8"/>
      <c r="AW35" s="8"/>
      <c r="AX35" s="8" t="s">
        <v>149</v>
      </c>
      <c r="AY35" s="8"/>
      <c r="AZ35" s="8"/>
      <c r="BA35" s="8"/>
      <c r="BB35" s="8" t="s">
        <v>150</v>
      </c>
      <c r="BC35" s="8"/>
      <c r="BD35" s="8"/>
      <c r="BE35" s="8"/>
      <c r="BF35" s="8" t="s">
        <v>151</v>
      </c>
      <c r="BG35" s="8"/>
      <c r="BH35" s="8"/>
      <c r="BI35" s="8"/>
      <c r="BJ35" s="8" t="s">
        <v>152</v>
      </c>
      <c r="BK35" s="8"/>
      <c r="BL35" s="8"/>
      <c r="BM35" s="8"/>
      <c r="BN35" s="8" t="s">
        <v>153</v>
      </c>
      <c r="BO35" s="8"/>
      <c r="BP35" s="8"/>
      <c r="BQ35" s="8"/>
      <c r="BR35" s="8" t="s">
        <v>154</v>
      </c>
      <c r="BS35" s="8"/>
      <c r="BT35" s="8"/>
      <c r="BU35" s="8"/>
      <c r="BV35" s="8" t="s">
        <v>155</v>
      </c>
      <c r="BW35" s="8"/>
      <c r="BX35" s="8"/>
      <c r="BY35" s="8"/>
    </row>
    <row r="36" spans="1:77" ht="19.8" thickBot="1" x14ac:dyDescent="0.35">
      <c r="A36" s="9" t="s">
        <v>16</v>
      </c>
      <c r="B36" s="10" t="s">
        <v>17</v>
      </c>
      <c r="C36" s="10" t="s">
        <v>27</v>
      </c>
      <c r="D36" s="10" t="s">
        <v>19</v>
      </c>
      <c r="E36" s="10" t="s">
        <v>20</v>
      </c>
      <c r="F36" s="10" t="s">
        <v>21</v>
      </c>
      <c r="G36" s="10" t="s">
        <v>22</v>
      </c>
      <c r="H36" s="10" t="s">
        <v>23</v>
      </c>
      <c r="I36" s="10" t="s">
        <v>24</v>
      </c>
      <c r="J36" s="10" t="s">
        <v>25</v>
      </c>
      <c r="K36" s="10" t="s">
        <v>26</v>
      </c>
      <c r="L36" s="10" t="s">
        <v>27</v>
      </c>
      <c r="M36" s="10" t="s">
        <v>19</v>
      </c>
      <c r="N36" s="10" t="s">
        <v>20</v>
      </c>
      <c r="O36" s="10" t="s">
        <v>21</v>
      </c>
      <c r="P36" s="10" t="s">
        <v>22</v>
      </c>
      <c r="Q36" s="10" t="s">
        <v>23</v>
      </c>
      <c r="R36" s="10" t="s">
        <v>24</v>
      </c>
      <c r="S36" s="10" t="s">
        <v>25</v>
      </c>
      <c r="T36" s="10" t="s">
        <v>26</v>
      </c>
      <c r="U36" s="10" t="s">
        <v>27</v>
      </c>
      <c r="V36" s="10" t="s">
        <v>19</v>
      </c>
      <c r="W36" s="10" t="s">
        <v>20</v>
      </c>
      <c r="X36" s="10" t="s">
        <v>21</v>
      </c>
      <c r="Y36" s="10" t="s">
        <v>22</v>
      </c>
      <c r="Z36" s="10" t="s">
        <v>23</v>
      </c>
      <c r="AA36" s="10" t="s">
        <v>24</v>
      </c>
      <c r="AB36" s="10" t="s">
        <v>25</v>
      </c>
      <c r="AC36" s="10" t="s">
        <v>26</v>
      </c>
      <c r="AD36" s="12" t="s">
        <v>28</v>
      </c>
      <c r="AE36" s="13" t="s">
        <v>29</v>
      </c>
      <c r="AF36" s="13" t="s">
        <v>30</v>
      </c>
      <c r="AG36" s="13" t="s">
        <v>31</v>
      </c>
      <c r="AH36" s="13" t="s">
        <v>28</v>
      </c>
      <c r="AI36" s="13" t="s">
        <v>29</v>
      </c>
      <c r="AJ36" s="13" t="s">
        <v>30</v>
      </c>
      <c r="AK36" s="13" t="s">
        <v>31</v>
      </c>
      <c r="AL36" s="13" t="s">
        <v>28</v>
      </c>
      <c r="AM36" s="12" t="s">
        <v>29</v>
      </c>
      <c r="AN36" s="12" t="s">
        <v>30</v>
      </c>
      <c r="AO36" s="12" t="s">
        <v>31</v>
      </c>
      <c r="AP36" s="12" t="s">
        <v>28</v>
      </c>
      <c r="AQ36" s="12" t="s">
        <v>29</v>
      </c>
      <c r="AR36" s="12" t="s">
        <v>30</v>
      </c>
      <c r="AS36" s="13" t="s">
        <v>31</v>
      </c>
      <c r="AT36" s="13" t="s">
        <v>28</v>
      </c>
      <c r="AU36" s="13" t="s">
        <v>29</v>
      </c>
      <c r="AV36" s="13" t="s">
        <v>30</v>
      </c>
      <c r="AW36" s="13" t="s">
        <v>31</v>
      </c>
      <c r="AX36" s="13" t="s">
        <v>28</v>
      </c>
      <c r="AY36" s="13" t="s">
        <v>29</v>
      </c>
      <c r="AZ36" s="13" t="s">
        <v>30</v>
      </c>
      <c r="BA36" s="13" t="s">
        <v>31</v>
      </c>
      <c r="BB36" s="13" t="s">
        <v>28</v>
      </c>
      <c r="BC36" s="13" t="s">
        <v>29</v>
      </c>
      <c r="BD36" s="13" t="s">
        <v>30</v>
      </c>
      <c r="BE36" s="13" t="s">
        <v>31</v>
      </c>
      <c r="BF36" s="13" t="s">
        <v>28</v>
      </c>
      <c r="BG36" s="13" t="s">
        <v>29</v>
      </c>
      <c r="BH36" s="13" t="s">
        <v>30</v>
      </c>
      <c r="BI36" s="13" t="s">
        <v>31</v>
      </c>
      <c r="BJ36" s="13" t="s">
        <v>28</v>
      </c>
      <c r="BK36" s="13" t="s">
        <v>29</v>
      </c>
      <c r="BL36" s="13" t="s">
        <v>30</v>
      </c>
      <c r="BM36" s="13" t="s">
        <v>31</v>
      </c>
      <c r="BN36" s="13" t="s">
        <v>28</v>
      </c>
      <c r="BO36" s="13" t="s">
        <v>29</v>
      </c>
      <c r="BP36" s="13" t="s">
        <v>30</v>
      </c>
      <c r="BQ36" s="13" t="s">
        <v>31</v>
      </c>
      <c r="BR36" s="13" t="s">
        <v>28</v>
      </c>
      <c r="BS36" s="13" t="s">
        <v>29</v>
      </c>
      <c r="BT36" s="13" t="s">
        <v>30</v>
      </c>
      <c r="BU36" s="13" t="s">
        <v>31</v>
      </c>
      <c r="BV36" s="13" t="s">
        <v>28</v>
      </c>
      <c r="BW36" s="13" t="s">
        <v>29</v>
      </c>
      <c r="BX36" s="13" t="s">
        <v>30</v>
      </c>
      <c r="BY36" s="13" t="s">
        <v>31</v>
      </c>
    </row>
    <row r="37" spans="1:77" ht="15.6" thickTop="1" thickBot="1" x14ac:dyDescent="0.35">
      <c r="A37" s="14" t="s">
        <v>32</v>
      </c>
      <c r="B37" s="15">
        <v>2016</v>
      </c>
      <c r="C37" s="15">
        <v>147263</v>
      </c>
      <c r="D37" s="15">
        <v>13</v>
      </c>
      <c r="E37" s="16">
        <f>(D37/C37)*100000</f>
        <v>8.8277435608401298</v>
      </c>
      <c r="F37" s="17">
        <f>LN(E37)</f>
        <v>2.1778994395856417</v>
      </c>
      <c r="G37" s="18">
        <v>-0.1411</v>
      </c>
      <c r="H37" s="19">
        <f t="shared" ref="H37:H43" si="12">(EXP(G37)-1)*100</f>
        <v>-13.159753289120001</v>
      </c>
      <c r="I37" s="20">
        <f>(EXP(-0.218) - 1) * 100</f>
        <v>-19.587455833344038</v>
      </c>
      <c r="J37" s="20">
        <f>(EXP(-0.064) - 1) * 100</f>
        <v>-6.1995000469270529</v>
      </c>
      <c r="K37" s="59">
        <v>7.0000000000000001E-3</v>
      </c>
      <c r="L37" s="15">
        <v>77405</v>
      </c>
      <c r="M37" s="15">
        <v>49</v>
      </c>
      <c r="N37" s="16">
        <f>(M37/L37)*100000</f>
        <v>63.303404172857043</v>
      </c>
      <c r="O37" s="17">
        <f>LN(N37)</f>
        <v>4.1479391061062891</v>
      </c>
      <c r="P37" s="18">
        <v>4.9399999999999999E-2</v>
      </c>
      <c r="Q37" s="19">
        <f t="shared" ref="Q37" si="13">(EXP(P37)-1)*100</f>
        <v>5.0640522909155772</v>
      </c>
      <c r="R37" s="20">
        <f>(EXP(-0.067) - 1) * 100</f>
        <v>-6.4804798663223417</v>
      </c>
      <c r="S37" s="20">
        <f>(EXP(0.166) - 1) * 100</f>
        <v>18.057310172327611</v>
      </c>
      <c r="T37" s="59">
        <v>0.30520000000000003</v>
      </c>
      <c r="U37" s="15">
        <v>42784</v>
      </c>
      <c r="V37" s="15">
        <v>249</v>
      </c>
      <c r="W37" s="16">
        <f>(V37/U37)*100000</f>
        <v>581.9932685115931</v>
      </c>
      <c r="X37" s="17">
        <f>LN(W37)</f>
        <v>6.3664588815332666</v>
      </c>
      <c r="Y37" s="18">
        <v>5.3999999999999999E-2</v>
      </c>
      <c r="Z37" s="19">
        <f t="shared" ref="Z37" si="14">(EXP(Y37)-1)*100</f>
        <v>5.5484602155080109</v>
      </c>
      <c r="AA37" s="20">
        <f>(EXP(0.008) - 1) * 100</f>
        <v>0.80320855042734784</v>
      </c>
      <c r="AB37" s="20">
        <f>(EXP(0.1) - 1) * 100</f>
        <v>10.517091807564771</v>
      </c>
      <c r="AC37" s="59">
        <v>3.1800000000000002E-2</v>
      </c>
      <c r="AD37" s="22" t="s">
        <v>33</v>
      </c>
      <c r="AE37" s="13">
        <v>1</v>
      </c>
      <c r="AF37" s="13">
        <v>0.34860000000000002</v>
      </c>
      <c r="AG37" s="13">
        <v>0.34860000000000002</v>
      </c>
      <c r="AH37" s="13" t="s">
        <v>33</v>
      </c>
      <c r="AI37" s="13">
        <v>1</v>
      </c>
      <c r="AJ37" s="13">
        <v>4.2799999999999998E-2</v>
      </c>
      <c r="AK37" s="13">
        <v>4.2799999999999998E-2</v>
      </c>
      <c r="AL37" s="13" t="s">
        <v>33</v>
      </c>
      <c r="AM37" s="22">
        <v>1</v>
      </c>
      <c r="AN37" s="22">
        <v>5.0999999999999997E-2</v>
      </c>
      <c r="AO37" s="22">
        <v>5.0999999999999997E-2</v>
      </c>
      <c r="AP37" s="22" t="s">
        <v>33</v>
      </c>
      <c r="AQ37" s="22">
        <v>1</v>
      </c>
      <c r="AR37" s="22" t="s">
        <v>156</v>
      </c>
      <c r="AS37" s="13" t="s">
        <v>156</v>
      </c>
      <c r="AT37" s="13" t="s">
        <v>33</v>
      </c>
      <c r="AU37" s="13">
        <v>1</v>
      </c>
      <c r="AV37" s="13" t="s">
        <v>157</v>
      </c>
      <c r="AW37" s="13" t="s">
        <v>157</v>
      </c>
      <c r="AX37" s="13" t="s">
        <v>33</v>
      </c>
      <c r="AY37" s="13">
        <v>1</v>
      </c>
      <c r="AZ37" s="13" t="s">
        <v>158</v>
      </c>
      <c r="BA37" s="13" t="s">
        <v>158</v>
      </c>
      <c r="BB37" s="13" t="s">
        <v>33</v>
      </c>
      <c r="BC37" s="13">
        <v>1</v>
      </c>
      <c r="BD37" s="13" t="s">
        <v>159</v>
      </c>
      <c r="BE37" s="13" t="s">
        <v>159</v>
      </c>
      <c r="BF37" s="13" t="s">
        <v>33</v>
      </c>
      <c r="BG37" s="13">
        <v>1</v>
      </c>
      <c r="BH37" s="13" t="s">
        <v>160</v>
      </c>
      <c r="BI37" s="13" t="s">
        <v>160</v>
      </c>
      <c r="BJ37" s="13" t="s">
        <v>33</v>
      </c>
      <c r="BK37" s="13">
        <v>1</v>
      </c>
      <c r="BL37" s="13" t="s">
        <v>161</v>
      </c>
      <c r="BM37" s="13" t="s">
        <v>161</v>
      </c>
      <c r="BN37" s="13" t="s">
        <v>33</v>
      </c>
      <c r="BO37" s="13">
        <v>1</v>
      </c>
      <c r="BP37" s="13" t="s">
        <v>162</v>
      </c>
      <c r="BQ37" s="13" t="s">
        <v>162</v>
      </c>
      <c r="BR37" s="13" t="s">
        <v>33</v>
      </c>
      <c r="BS37" s="13">
        <v>1</v>
      </c>
      <c r="BT37" s="13" t="s">
        <v>163</v>
      </c>
      <c r="BU37" s="13" t="s">
        <v>163</v>
      </c>
      <c r="BV37" s="13" t="s">
        <v>33</v>
      </c>
      <c r="BW37" s="13">
        <v>1</v>
      </c>
      <c r="BX37" s="13" t="s">
        <v>164</v>
      </c>
      <c r="BY37" s="13" t="s">
        <v>164</v>
      </c>
    </row>
    <row r="38" spans="1:77" ht="15.6" thickTop="1" thickBot="1" x14ac:dyDescent="0.35">
      <c r="A38" s="23"/>
      <c r="B38" s="55">
        <v>2017</v>
      </c>
      <c r="C38" s="15">
        <v>155513</v>
      </c>
      <c r="D38" s="15">
        <v>15</v>
      </c>
      <c r="E38" s="16">
        <f t="shared" ref="E38:E59" si="15">(D38/C38)*100000</f>
        <v>9.6454958749429309</v>
      </c>
      <c r="F38" s="17">
        <f t="shared" ref="F38:F59" si="16">LN(E38)</f>
        <v>2.2664910576792319</v>
      </c>
      <c r="G38" s="24"/>
      <c r="H38" s="19"/>
      <c r="I38" s="25"/>
      <c r="J38" s="25"/>
      <c r="K38" s="60"/>
      <c r="L38" s="15">
        <v>80224</v>
      </c>
      <c r="M38" s="15">
        <v>66</v>
      </c>
      <c r="N38" s="16">
        <f t="shared" ref="N38:N60" si="17">(M38/L38)*100000</f>
        <v>82.269644994016758</v>
      </c>
      <c r="O38" s="17">
        <f t="shared" ref="O38:O60" si="18">LN(N38)</f>
        <v>4.4100022060386337</v>
      </c>
      <c r="P38" s="24"/>
      <c r="Q38" s="19"/>
      <c r="R38" s="25"/>
      <c r="S38" s="25"/>
      <c r="T38" s="60"/>
      <c r="U38" s="15">
        <v>44688</v>
      </c>
      <c r="V38" s="15">
        <v>315</v>
      </c>
      <c r="W38" s="16">
        <f t="shared" ref="W38:W60" si="19">(V38/U38)*100000</f>
        <v>704.88721804511272</v>
      </c>
      <c r="X38" s="17">
        <f t="shared" ref="X38:X60" si="20">LN(W38)</f>
        <v>6.5580378156109038</v>
      </c>
      <c r="Y38" s="24"/>
      <c r="Z38" s="19"/>
      <c r="AA38" s="25"/>
      <c r="AB38" s="25"/>
      <c r="AC38" s="60"/>
      <c r="AD38" s="22" t="s">
        <v>35</v>
      </c>
      <c r="AE38" s="13">
        <v>4</v>
      </c>
      <c r="AF38" s="13">
        <v>5.3699999999999998E-2</v>
      </c>
      <c r="AG38" s="13">
        <v>1.34E-2</v>
      </c>
      <c r="AH38" s="13" t="s">
        <v>35</v>
      </c>
      <c r="AI38" s="13">
        <v>4</v>
      </c>
      <c r="AJ38" s="13">
        <v>0.1239</v>
      </c>
      <c r="AK38" s="13">
        <v>3.1E-2</v>
      </c>
      <c r="AL38" s="13" t="s">
        <v>35</v>
      </c>
      <c r="AM38" s="27">
        <v>4</v>
      </c>
      <c r="AN38" s="28">
        <v>1.95E-2</v>
      </c>
      <c r="AO38" s="29">
        <v>4.8999999999999998E-3</v>
      </c>
      <c r="AP38" s="22" t="s">
        <v>35</v>
      </c>
      <c r="AQ38" s="27">
        <v>4</v>
      </c>
      <c r="AR38" s="28" t="s">
        <v>165</v>
      </c>
      <c r="AS38" s="13" t="s">
        <v>166</v>
      </c>
      <c r="AT38" s="13" t="s">
        <v>35</v>
      </c>
      <c r="AU38" s="13">
        <v>4</v>
      </c>
      <c r="AV38" s="13" t="s">
        <v>167</v>
      </c>
      <c r="AW38" s="13" t="s">
        <v>168</v>
      </c>
      <c r="AX38" s="13" t="s">
        <v>35</v>
      </c>
      <c r="AY38" s="13">
        <v>4</v>
      </c>
      <c r="AZ38" s="13" t="s">
        <v>169</v>
      </c>
      <c r="BA38" s="13" t="s">
        <v>170</v>
      </c>
      <c r="BB38" s="13" t="s">
        <v>35</v>
      </c>
      <c r="BC38" s="13">
        <v>4</v>
      </c>
      <c r="BD38" s="13" t="s">
        <v>171</v>
      </c>
      <c r="BE38" s="13" t="s">
        <v>172</v>
      </c>
      <c r="BF38" s="13" t="s">
        <v>35</v>
      </c>
      <c r="BG38" s="13">
        <v>4</v>
      </c>
      <c r="BH38" s="13" t="s">
        <v>173</v>
      </c>
      <c r="BI38" s="13" t="s">
        <v>174</v>
      </c>
      <c r="BJ38" s="13" t="s">
        <v>35</v>
      </c>
      <c r="BK38" s="13">
        <v>4</v>
      </c>
      <c r="BL38" s="13" t="s">
        <v>175</v>
      </c>
      <c r="BM38" s="13" t="s">
        <v>170</v>
      </c>
      <c r="BN38" s="13" t="s">
        <v>35</v>
      </c>
      <c r="BO38" s="13">
        <v>4</v>
      </c>
      <c r="BP38" s="13" t="s">
        <v>176</v>
      </c>
      <c r="BQ38" s="13" t="s">
        <v>177</v>
      </c>
      <c r="BR38" s="13" t="s">
        <v>35</v>
      </c>
      <c r="BS38" s="13">
        <v>4</v>
      </c>
      <c r="BT38" s="13" t="s">
        <v>178</v>
      </c>
      <c r="BU38" s="13" t="s">
        <v>179</v>
      </c>
      <c r="BV38" s="13" t="s">
        <v>35</v>
      </c>
      <c r="BW38" s="13">
        <v>4</v>
      </c>
      <c r="BX38" s="13" t="s">
        <v>180</v>
      </c>
      <c r="BY38" s="13" t="s">
        <v>181</v>
      </c>
    </row>
    <row r="39" spans="1:77" ht="15.6" thickTop="1" thickBot="1" x14ac:dyDescent="0.35">
      <c r="A39" s="23"/>
      <c r="B39" s="55">
        <v>2018</v>
      </c>
      <c r="C39" s="15">
        <v>163841</v>
      </c>
      <c r="D39" s="15">
        <v>11</v>
      </c>
      <c r="E39" s="16">
        <f t="shared" si="15"/>
        <v>6.7138262095568262</v>
      </c>
      <c r="F39" s="17">
        <f t="shared" si="16"/>
        <v>1.9041690134383202</v>
      </c>
      <c r="G39" s="24"/>
      <c r="H39" s="19"/>
      <c r="I39" s="25"/>
      <c r="J39" s="25"/>
      <c r="K39" s="60"/>
      <c r="L39" s="15">
        <v>83423</v>
      </c>
      <c r="M39" s="15">
        <v>48</v>
      </c>
      <c r="N39" s="16">
        <f t="shared" si="17"/>
        <v>57.538089016218549</v>
      </c>
      <c r="O39" s="17">
        <f t="shared" si="18"/>
        <v>4.0524471461749245</v>
      </c>
      <c r="P39" s="24"/>
      <c r="Q39" s="19"/>
      <c r="R39" s="25"/>
      <c r="S39" s="25"/>
      <c r="T39" s="60"/>
      <c r="U39" s="15">
        <v>46616</v>
      </c>
      <c r="V39" s="15">
        <v>336</v>
      </c>
      <c r="W39" s="16">
        <f t="shared" si="19"/>
        <v>720.78256392654885</v>
      </c>
      <c r="X39" s="17">
        <f t="shared" si="20"/>
        <v>6.5803375161105224</v>
      </c>
      <c r="Y39" s="24"/>
      <c r="Z39" s="19"/>
      <c r="AA39" s="25"/>
      <c r="AB39" s="25"/>
      <c r="AC39" s="60"/>
      <c r="AD39" s="22" t="s">
        <v>38</v>
      </c>
      <c r="AE39" s="13">
        <v>5</v>
      </c>
      <c r="AF39" s="13">
        <v>0.40229999999999999</v>
      </c>
      <c r="AG39" s="13" t="s">
        <v>40</v>
      </c>
      <c r="AH39" s="13" t="s">
        <v>38</v>
      </c>
      <c r="AI39" s="13">
        <v>5</v>
      </c>
      <c r="AJ39" s="13">
        <v>0.16669999999999999</v>
      </c>
      <c r="AK39" s="13" t="s">
        <v>40</v>
      </c>
      <c r="AL39" s="13" t="s">
        <v>38</v>
      </c>
      <c r="AM39" s="27">
        <v>5</v>
      </c>
      <c r="AN39" s="28">
        <v>7.0499999999999993E-2</v>
      </c>
      <c r="AO39" s="29" t="s">
        <v>40</v>
      </c>
      <c r="AP39" s="22" t="s">
        <v>38</v>
      </c>
      <c r="AQ39" s="27">
        <v>5</v>
      </c>
      <c r="AR39" s="28" t="s">
        <v>182</v>
      </c>
      <c r="AS39" s="13" t="s">
        <v>40</v>
      </c>
      <c r="AT39" s="13" t="s">
        <v>38</v>
      </c>
      <c r="AU39" s="13">
        <v>5</v>
      </c>
      <c r="AV39" s="13" t="s">
        <v>183</v>
      </c>
      <c r="AW39" s="13" t="s">
        <v>40</v>
      </c>
      <c r="AX39" s="13" t="s">
        <v>38</v>
      </c>
      <c r="AY39" s="13">
        <v>5</v>
      </c>
      <c r="AZ39" s="13" t="s">
        <v>184</v>
      </c>
      <c r="BA39" s="13" t="s">
        <v>40</v>
      </c>
      <c r="BB39" s="13" t="s">
        <v>38</v>
      </c>
      <c r="BC39" s="13">
        <v>5</v>
      </c>
      <c r="BD39" s="13" t="s">
        <v>185</v>
      </c>
      <c r="BE39" s="13" t="s">
        <v>40</v>
      </c>
      <c r="BF39" s="13" t="s">
        <v>38</v>
      </c>
      <c r="BG39" s="13">
        <v>5</v>
      </c>
      <c r="BH39" s="13" t="s">
        <v>186</v>
      </c>
      <c r="BI39" s="13" t="s">
        <v>40</v>
      </c>
      <c r="BJ39" s="13" t="s">
        <v>38</v>
      </c>
      <c r="BK39" s="13">
        <v>5</v>
      </c>
      <c r="BL39" s="13" t="s">
        <v>187</v>
      </c>
      <c r="BM39" s="13" t="s">
        <v>40</v>
      </c>
      <c r="BN39" s="13" t="s">
        <v>38</v>
      </c>
      <c r="BO39" s="13">
        <v>5</v>
      </c>
      <c r="BP39" s="13" t="s">
        <v>188</v>
      </c>
      <c r="BQ39" s="13" t="s">
        <v>40</v>
      </c>
      <c r="BR39" s="13" t="s">
        <v>38</v>
      </c>
      <c r="BS39" s="13">
        <v>5</v>
      </c>
      <c r="BT39" s="13" t="s">
        <v>189</v>
      </c>
      <c r="BU39" s="13" t="s">
        <v>40</v>
      </c>
      <c r="BV39" s="13" t="s">
        <v>38</v>
      </c>
      <c r="BW39" s="13">
        <v>5</v>
      </c>
      <c r="BX39" s="13" t="s">
        <v>190</v>
      </c>
      <c r="BY39" s="13" t="s">
        <v>40</v>
      </c>
    </row>
    <row r="40" spans="1:77" ht="15.6" thickTop="1" thickBot="1" x14ac:dyDescent="0.35">
      <c r="A40" s="23"/>
      <c r="B40" s="55">
        <v>2019</v>
      </c>
      <c r="C40" s="15">
        <v>171976</v>
      </c>
      <c r="D40" s="15">
        <v>12</v>
      </c>
      <c r="E40" s="16">
        <f t="shared" si="15"/>
        <v>6.9777178210913151</v>
      </c>
      <c r="F40" s="17">
        <f t="shared" si="16"/>
        <v>1.9427219035822572</v>
      </c>
      <c r="G40" s="24"/>
      <c r="H40" s="19"/>
      <c r="I40" s="25"/>
      <c r="J40" s="25"/>
      <c r="K40" s="60"/>
      <c r="L40" s="15">
        <v>87153</v>
      </c>
      <c r="M40" s="15">
        <v>55</v>
      </c>
      <c r="N40" s="16">
        <f t="shared" si="17"/>
        <v>63.107408809794272</v>
      </c>
      <c r="O40" s="17">
        <f t="shared" si="18"/>
        <v>4.1448381764390874</v>
      </c>
      <c r="P40" s="24"/>
      <c r="Q40" s="19"/>
      <c r="R40" s="25"/>
      <c r="S40" s="25"/>
      <c r="T40" s="60"/>
      <c r="U40" s="15">
        <v>48522</v>
      </c>
      <c r="V40" s="15">
        <v>372</v>
      </c>
      <c r="W40" s="16">
        <f t="shared" si="19"/>
        <v>766.66254482502779</v>
      </c>
      <c r="X40" s="17">
        <f t="shared" si="20"/>
        <v>6.6420467369194975</v>
      </c>
      <c r="Y40" s="24"/>
      <c r="Z40" s="19"/>
      <c r="AA40" s="25"/>
      <c r="AB40" s="25"/>
      <c r="AC40" s="60"/>
      <c r="AD40" s="22"/>
      <c r="AE40" s="13"/>
      <c r="AF40" s="13"/>
      <c r="AG40" s="13"/>
      <c r="AH40" s="13"/>
      <c r="AI40" s="13"/>
      <c r="AJ40" s="13"/>
      <c r="AK40" s="13"/>
      <c r="AL40" s="13"/>
      <c r="AM40" s="27"/>
      <c r="AN40" s="28"/>
      <c r="AO40" s="29"/>
      <c r="AP40" s="22"/>
      <c r="AQ40" s="27"/>
      <c r="AR40" s="28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</row>
    <row r="41" spans="1:77" ht="15.6" thickTop="1" thickBot="1" x14ac:dyDescent="0.35">
      <c r="A41" s="23"/>
      <c r="B41" s="55">
        <v>2020</v>
      </c>
      <c r="C41" s="15">
        <v>179506</v>
      </c>
      <c r="D41" s="15">
        <v>9</v>
      </c>
      <c r="E41" s="16">
        <f t="shared" si="15"/>
        <v>5.0137599857386386</v>
      </c>
      <c r="F41" s="17">
        <f t="shared" si="16"/>
        <v>1.6121861297707756</v>
      </c>
      <c r="G41" s="24"/>
      <c r="H41" s="19"/>
      <c r="I41" s="25"/>
      <c r="J41" s="25"/>
      <c r="K41" s="60"/>
      <c r="L41" s="15">
        <v>91345</v>
      </c>
      <c r="M41" s="15">
        <v>70</v>
      </c>
      <c r="N41" s="16">
        <f t="shared" si="17"/>
        <v>76.632546937435009</v>
      </c>
      <c r="O41" s="17">
        <f t="shared" si="18"/>
        <v>4.3390218812489172</v>
      </c>
      <c r="P41" s="24"/>
      <c r="Q41" s="19"/>
      <c r="R41" s="25"/>
      <c r="S41" s="25"/>
      <c r="T41" s="60"/>
      <c r="U41" s="15">
        <v>50122</v>
      </c>
      <c r="V41" s="15">
        <v>356</v>
      </c>
      <c r="W41" s="16">
        <f t="shared" si="19"/>
        <v>710.26694864530543</v>
      </c>
      <c r="X41" s="17">
        <f t="shared" si="20"/>
        <v>6.5656408833785589</v>
      </c>
      <c r="Y41" s="24"/>
      <c r="Z41" s="19"/>
      <c r="AA41" s="25"/>
      <c r="AB41" s="25"/>
      <c r="AC41" s="60"/>
      <c r="AD41" s="22" t="s">
        <v>41</v>
      </c>
      <c r="AE41" s="13">
        <v>25.963100000000001</v>
      </c>
      <c r="AF41" s="13" t="s">
        <v>191</v>
      </c>
      <c r="AG41" s="13"/>
      <c r="AH41" s="13" t="s">
        <v>41</v>
      </c>
      <c r="AI41" s="13">
        <v>1.38</v>
      </c>
      <c r="AJ41" s="13" t="s">
        <v>192</v>
      </c>
      <c r="AK41" s="13"/>
      <c r="AL41" s="13" t="s">
        <v>41</v>
      </c>
      <c r="AM41" s="27">
        <v>10.457000000000001</v>
      </c>
      <c r="AN41" s="28" t="s">
        <v>193</v>
      </c>
      <c r="AO41" s="29"/>
      <c r="AP41" s="22" t="s">
        <v>41</v>
      </c>
      <c r="AQ41" s="27" t="s">
        <v>194</v>
      </c>
      <c r="AR41" s="28" t="s">
        <v>195</v>
      </c>
      <c r="AS41" s="13"/>
      <c r="AT41" s="13" t="s">
        <v>41</v>
      </c>
      <c r="AU41" s="13" t="s">
        <v>196</v>
      </c>
      <c r="AV41" s="13" t="s">
        <v>197</v>
      </c>
      <c r="AW41" s="13"/>
      <c r="AX41" s="13" t="s">
        <v>41</v>
      </c>
      <c r="AY41" s="13" t="s">
        <v>198</v>
      </c>
      <c r="AZ41" s="13" t="s">
        <v>199</v>
      </c>
      <c r="BA41" s="13"/>
      <c r="BB41" s="13" t="s">
        <v>41</v>
      </c>
      <c r="BC41" s="13" t="s">
        <v>200</v>
      </c>
      <c r="BD41" s="13" t="s">
        <v>201</v>
      </c>
      <c r="BE41" s="13"/>
      <c r="BF41" s="13" t="s">
        <v>41</v>
      </c>
      <c r="BG41" s="13" t="s">
        <v>202</v>
      </c>
      <c r="BH41" s="13" t="s">
        <v>203</v>
      </c>
      <c r="BI41" s="13"/>
      <c r="BJ41" s="13" t="s">
        <v>41</v>
      </c>
      <c r="BK41" s="13" t="s">
        <v>204</v>
      </c>
      <c r="BL41" s="13" t="s">
        <v>205</v>
      </c>
      <c r="BM41" s="13"/>
      <c r="BN41" s="13" t="s">
        <v>41</v>
      </c>
      <c r="BO41" s="13" t="s">
        <v>206</v>
      </c>
      <c r="BP41" s="13" t="s">
        <v>207</v>
      </c>
      <c r="BQ41" s="13"/>
      <c r="BR41" s="13" t="s">
        <v>41</v>
      </c>
      <c r="BS41" s="13" t="s">
        <v>208</v>
      </c>
      <c r="BT41" s="13" t="s">
        <v>209</v>
      </c>
      <c r="BU41" s="13"/>
      <c r="BV41" s="13" t="s">
        <v>41</v>
      </c>
      <c r="BW41" s="13" t="s">
        <v>210</v>
      </c>
      <c r="BX41" s="13" t="s">
        <v>211</v>
      </c>
      <c r="BY41" s="13"/>
    </row>
    <row r="42" spans="1:77" ht="15.6" thickTop="1" thickBot="1" x14ac:dyDescent="0.35">
      <c r="A42" s="30"/>
      <c r="B42" s="55">
        <v>2021</v>
      </c>
      <c r="C42" s="15">
        <v>186117</v>
      </c>
      <c r="D42" s="15">
        <v>9</v>
      </c>
      <c r="E42" s="16">
        <f t="shared" si="15"/>
        <v>4.835667886329567</v>
      </c>
      <c r="F42" s="17">
        <f t="shared" si="16"/>
        <v>1.5760192551109096</v>
      </c>
      <c r="G42" s="31"/>
      <c r="H42" s="19"/>
      <c r="I42" s="32"/>
      <c r="J42" s="32"/>
      <c r="K42" s="61"/>
      <c r="L42" s="15">
        <v>95833</v>
      </c>
      <c r="M42" s="15">
        <v>88</v>
      </c>
      <c r="N42" s="16">
        <f t="shared" si="17"/>
        <v>91.82640635271774</v>
      </c>
      <c r="O42" s="17">
        <f t="shared" si="18"/>
        <v>4.5198999071639214</v>
      </c>
      <c r="P42" s="31"/>
      <c r="Q42" s="19"/>
      <c r="R42" s="32"/>
      <c r="S42" s="32"/>
      <c r="T42" s="61"/>
      <c r="U42" s="15">
        <v>51158</v>
      </c>
      <c r="V42" s="15">
        <v>428</v>
      </c>
      <c r="W42" s="16">
        <f t="shared" si="19"/>
        <v>836.62379295515848</v>
      </c>
      <c r="X42" s="17">
        <f t="shared" si="20"/>
        <v>6.7293744986648374</v>
      </c>
      <c r="Y42" s="31"/>
      <c r="Z42" s="19"/>
      <c r="AA42" s="32"/>
      <c r="AB42" s="32"/>
      <c r="AC42" s="61"/>
      <c r="AD42" s="22" t="s">
        <v>55</v>
      </c>
      <c r="AE42" s="13" t="s">
        <v>56</v>
      </c>
      <c r="AF42" s="13"/>
      <c r="AG42" s="13"/>
      <c r="AH42" s="13" t="s">
        <v>55</v>
      </c>
      <c r="AI42" s="13" t="s">
        <v>56</v>
      </c>
      <c r="AJ42" s="13"/>
      <c r="AK42" s="13"/>
      <c r="AL42" s="13" t="s">
        <v>55</v>
      </c>
      <c r="AM42" s="27" t="s">
        <v>56</v>
      </c>
      <c r="AN42" s="28"/>
      <c r="AO42" s="29"/>
      <c r="AP42" s="22" t="s">
        <v>55</v>
      </c>
      <c r="AQ42" s="27" t="s">
        <v>56</v>
      </c>
      <c r="AR42" s="28"/>
      <c r="AS42" s="13"/>
      <c r="AT42" s="13" t="s">
        <v>55</v>
      </c>
      <c r="AU42" s="13" t="s">
        <v>56</v>
      </c>
      <c r="AV42" s="13"/>
      <c r="AW42" s="13"/>
      <c r="AX42" s="13" t="s">
        <v>55</v>
      </c>
      <c r="AY42" s="13" t="s">
        <v>56</v>
      </c>
      <c r="AZ42" s="13"/>
      <c r="BA42" s="13"/>
      <c r="BB42" s="13" t="s">
        <v>55</v>
      </c>
      <c r="BC42" s="13" t="s">
        <v>56</v>
      </c>
      <c r="BD42" s="13"/>
      <c r="BE42" s="13"/>
      <c r="BF42" s="13" t="s">
        <v>55</v>
      </c>
      <c r="BG42" s="13" t="s">
        <v>56</v>
      </c>
      <c r="BH42" s="13"/>
      <c r="BI42" s="13"/>
      <c r="BJ42" s="13" t="s">
        <v>55</v>
      </c>
      <c r="BK42" s="13" t="s">
        <v>56</v>
      </c>
      <c r="BL42" s="13"/>
      <c r="BM42" s="13"/>
      <c r="BN42" s="13" t="s">
        <v>55</v>
      </c>
      <c r="BO42" s="13" t="s">
        <v>56</v>
      </c>
      <c r="BP42" s="13"/>
      <c r="BQ42" s="13"/>
      <c r="BR42" s="13" t="s">
        <v>55</v>
      </c>
      <c r="BS42" s="13" t="s">
        <v>56</v>
      </c>
      <c r="BT42" s="13"/>
      <c r="BU42" s="13"/>
      <c r="BV42" s="13" t="s">
        <v>55</v>
      </c>
      <c r="BW42" s="13" t="s">
        <v>56</v>
      </c>
      <c r="BX42" s="13"/>
      <c r="BY42" s="13"/>
    </row>
    <row r="43" spans="1:77" ht="15.6" thickTop="1" thickBot="1" x14ac:dyDescent="0.35">
      <c r="A43" s="34" t="s">
        <v>57</v>
      </c>
      <c r="B43" s="35">
        <v>2016</v>
      </c>
      <c r="C43" s="35">
        <v>854602</v>
      </c>
      <c r="D43" s="35">
        <v>39</v>
      </c>
      <c r="E43" s="16">
        <f t="shared" si="15"/>
        <v>4.5635278176273868</v>
      </c>
      <c r="F43" s="17">
        <f t="shared" si="16"/>
        <v>1.5180959686343991</v>
      </c>
      <c r="G43" s="18">
        <v>-1.23E-2</v>
      </c>
      <c r="H43" s="19">
        <f t="shared" si="12"/>
        <v>-1.2224664193146939</v>
      </c>
      <c r="I43" s="20">
        <f>(EXP(-0.11) - 1) * 100</f>
        <v>-10.416586470347177</v>
      </c>
      <c r="J43" s="20">
        <f>(EXP(0.086) - 1) * 100</f>
        <v>8.9806328305128691</v>
      </c>
      <c r="K43" s="62">
        <v>0.74519999999999997</v>
      </c>
      <c r="L43" s="35">
        <v>484767</v>
      </c>
      <c r="M43" s="35">
        <v>234</v>
      </c>
      <c r="N43" s="16">
        <f t="shared" si="17"/>
        <v>48.270612479809891</v>
      </c>
      <c r="O43" s="17">
        <f t="shared" si="18"/>
        <v>3.8768229382144392</v>
      </c>
      <c r="P43" s="18">
        <v>4.0000000000000001E-3</v>
      </c>
      <c r="Q43" s="19">
        <f t="shared" ref="Q43:Q55" si="21">(EXP(P43)-1)*100</f>
        <v>0.40080106773419111</v>
      </c>
      <c r="R43" s="20">
        <f>(EXP(-0.076) - 1) * 100</f>
        <v>-7.3183793440617766</v>
      </c>
      <c r="S43" s="20">
        <f>(EXP(0.084) - 1) * 100</f>
        <v>8.7628893808826103</v>
      </c>
      <c r="T43" s="62">
        <v>0.8962</v>
      </c>
      <c r="U43" s="35">
        <v>262870</v>
      </c>
      <c r="V43" s="35">
        <v>1061</v>
      </c>
      <c r="W43" s="16">
        <f t="shared" si="19"/>
        <v>403.62156198881576</v>
      </c>
      <c r="X43" s="17">
        <f t="shared" si="20"/>
        <v>6.0004777112070817</v>
      </c>
      <c r="Y43" s="36">
        <v>3.9399999999999998E-2</v>
      </c>
      <c r="Z43" s="19">
        <f t="shared" ref="Z43:Z55" si="22">(EXP(Y43)-1)*100</f>
        <v>4.0186475036348535</v>
      </c>
      <c r="AA43" s="20">
        <f>(EXP(0.015) - 1) * 100</f>
        <v>1.511306461571893</v>
      </c>
      <c r="AB43" s="20">
        <f>(EXP(0.064) - 1) * 100</f>
        <v>6.6092398761505189</v>
      </c>
      <c r="AC43" s="62">
        <v>1.09E-2</v>
      </c>
      <c r="AD43" s="22" t="s">
        <v>58</v>
      </c>
      <c r="AE43" s="13" t="s">
        <v>59</v>
      </c>
      <c r="AF43" s="13"/>
      <c r="AG43" s="13"/>
      <c r="AH43" s="13" t="s">
        <v>58</v>
      </c>
      <c r="AI43" s="13" t="s">
        <v>59</v>
      </c>
      <c r="AJ43" s="13"/>
      <c r="AK43" s="13"/>
      <c r="AL43" s="13" t="s">
        <v>58</v>
      </c>
      <c r="AM43" s="27" t="s">
        <v>59</v>
      </c>
      <c r="AN43" s="28"/>
      <c r="AO43" s="29"/>
      <c r="AP43" s="22" t="s">
        <v>58</v>
      </c>
      <c r="AQ43" s="27" t="s">
        <v>59</v>
      </c>
      <c r="AR43" s="28"/>
      <c r="AS43" s="13"/>
      <c r="AT43" s="13" t="s">
        <v>58</v>
      </c>
      <c r="AU43" s="13" t="s">
        <v>59</v>
      </c>
      <c r="AV43" s="13"/>
      <c r="AW43" s="13"/>
      <c r="AX43" s="13" t="s">
        <v>58</v>
      </c>
      <c r="AY43" s="13" t="s">
        <v>59</v>
      </c>
      <c r="AZ43" s="13"/>
      <c r="BA43" s="13"/>
      <c r="BB43" s="13" t="s">
        <v>58</v>
      </c>
      <c r="BC43" s="13" t="s">
        <v>59</v>
      </c>
      <c r="BD43" s="13"/>
      <c r="BE43" s="13"/>
      <c r="BF43" s="13" t="s">
        <v>58</v>
      </c>
      <c r="BG43" s="13" t="s">
        <v>59</v>
      </c>
      <c r="BH43" s="13"/>
      <c r="BI43" s="13"/>
      <c r="BJ43" s="13" t="s">
        <v>58</v>
      </c>
      <c r="BK43" s="13" t="s">
        <v>59</v>
      </c>
      <c r="BL43" s="13"/>
      <c r="BM43" s="13"/>
      <c r="BN43" s="13" t="s">
        <v>58</v>
      </c>
      <c r="BO43" s="13" t="s">
        <v>59</v>
      </c>
      <c r="BP43" s="13"/>
      <c r="BQ43" s="13"/>
      <c r="BR43" s="13" t="s">
        <v>58</v>
      </c>
      <c r="BS43" s="13" t="s">
        <v>59</v>
      </c>
      <c r="BT43" s="13"/>
      <c r="BU43" s="13"/>
      <c r="BV43" s="13" t="s">
        <v>58</v>
      </c>
      <c r="BW43" s="13" t="s">
        <v>59</v>
      </c>
      <c r="BX43" s="13"/>
      <c r="BY43" s="13"/>
    </row>
    <row r="44" spans="1:77" ht="15.6" thickTop="1" thickBot="1" x14ac:dyDescent="0.35">
      <c r="A44" s="38"/>
      <c r="B44" s="35">
        <v>2017</v>
      </c>
      <c r="C44" s="35">
        <v>891403</v>
      </c>
      <c r="D44" s="35">
        <v>42</v>
      </c>
      <c r="E44" s="16">
        <f t="shared" si="15"/>
        <v>4.7116736201246798</v>
      </c>
      <c r="F44" s="17">
        <f t="shared" si="16"/>
        <v>1.5500431782721837</v>
      </c>
      <c r="G44" s="24"/>
      <c r="H44" s="19"/>
      <c r="I44" s="25"/>
      <c r="J44" s="25"/>
      <c r="K44" s="63"/>
      <c r="L44" s="35">
        <v>501113</v>
      </c>
      <c r="M44" s="35">
        <v>230</v>
      </c>
      <c r="N44" s="16">
        <f t="shared" si="17"/>
        <v>45.897831427242956</v>
      </c>
      <c r="O44" s="17">
        <f t="shared" si="18"/>
        <v>3.8264178703565559</v>
      </c>
      <c r="P44" s="24"/>
      <c r="Q44" s="19"/>
      <c r="R44" s="25"/>
      <c r="S44" s="25"/>
      <c r="T44" s="63"/>
      <c r="U44" s="35">
        <v>274390</v>
      </c>
      <c r="V44" s="35">
        <v>1249</v>
      </c>
      <c r="W44" s="16">
        <f t="shared" si="19"/>
        <v>455.19151572579176</v>
      </c>
      <c r="X44" s="17">
        <f>LN(W44)</f>
        <v>6.1207182440746948</v>
      </c>
      <c r="Y44" s="39"/>
      <c r="Z44" s="19"/>
      <c r="AA44" s="25"/>
      <c r="AB44" s="25"/>
      <c r="AC44" s="63"/>
      <c r="AD44" s="22" t="s">
        <v>60</v>
      </c>
      <c r="AE44" s="13">
        <v>3.5</v>
      </c>
      <c r="AF44" s="13"/>
      <c r="AG44" s="13"/>
      <c r="AH44" s="13" t="s">
        <v>60</v>
      </c>
      <c r="AI44" s="13">
        <v>3.5</v>
      </c>
      <c r="AJ44" s="13"/>
      <c r="AK44" s="13"/>
      <c r="AL44" s="13" t="s">
        <v>60</v>
      </c>
      <c r="AM44" s="27">
        <v>3.5</v>
      </c>
      <c r="AN44" s="28"/>
      <c r="AO44" s="29"/>
      <c r="AP44" s="22" t="s">
        <v>60</v>
      </c>
      <c r="AQ44" s="27" t="s">
        <v>61</v>
      </c>
      <c r="AR44" s="28"/>
      <c r="AS44" s="13"/>
      <c r="AT44" s="13" t="s">
        <v>60</v>
      </c>
      <c r="AU44" s="13" t="s">
        <v>61</v>
      </c>
      <c r="AV44" s="13"/>
      <c r="AW44" s="13"/>
      <c r="AX44" s="13" t="s">
        <v>60</v>
      </c>
      <c r="AY44" s="13" t="s">
        <v>61</v>
      </c>
      <c r="AZ44" s="13"/>
      <c r="BA44" s="13"/>
      <c r="BB44" s="13" t="s">
        <v>60</v>
      </c>
      <c r="BC44" s="13" t="s">
        <v>61</v>
      </c>
      <c r="BD44" s="13"/>
      <c r="BE44" s="13"/>
      <c r="BF44" s="13" t="s">
        <v>60</v>
      </c>
      <c r="BG44" s="13" t="s">
        <v>61</v>
      </c>
      <c r="BH44" s="13"/>
      <c r="BI44" s="13"/>
      <c r="BJ44" s="13" t="s">
        <v>60</v>
      </c>
      <c r="BK44" s="13" t="s">
        <v>61</v>
      </c>
      <c r="BL44" s="13"/>
      <c r="BM44" s="13"/>
      <c r="BN44" s="13" t="s">
        <v>60</v>
      </c>
      <c r="BO44" s="13" t="s">
        <v>61</v>
      </c>
      <c r="BP44" s="13"/>
      <c r="BQ44" s="13"/>
      <c r="BR44" s="13" t="s">
        <v>60</v>
      </c>
      <c r="BS44" s="13" t="s">
        <v>61</v>
      </c>
      <c r="BT44" s="13"/>
      <c r="BU44" s="13"/>
      <c r="BV44" s="13" t="s">
        <v>60</v>
      </c>
      <c r="BW44" s="13" t="s">
        <v>61</v>
      </c>
      <c r="BX44" s="13"/>
      <c r="BY44" s="13"/>
    </row>
    <row r="45" spans="1:77" ht="15.6" thickTop="1" thickBot="1" x14ac:dyDescent="0.35">
      <c r="A45" s="38"/>
      <c r="B45" s="35">
        <v>2018</v>
      </c>
      <c r="C45" s="35">
        <v>928584</v>
      </c>
      <c r="D45" s="35">
        <v>36</v>
      </c>
      <c r="E45" s="16">
        <f t="shared" si="15"/>
        <v>3.8768705900597036</v>
      </c>
      <c r="F45" s="17">
        <f t="shared" si="16"/>
        <v>1.3550282792458919</v>
      </c>
      <c r="G45" s="24"/>
      <c r="H45" s="19"/>
      <c r="I45" s="25"/>
      <c r="J45" s="25"/>
      <c r="K45" s="63"/>
      <c r="L45" s="35">
        <v>519089</v>
      </c>
      <c r="M45" s="35">
        <v>199</v>
      </c>
      <c r="N45" s="16">
        <f t="shared" si="17"/>
        <v>38.336393181130788</v>
      </c>
      <c r="O45" s="17">
        <f t="shared" si="18"/>
        <v>3.6463996586259801</v>
      </c>
      <c r="P45" s="24"/>
      <c r="Q45" s="19"/>
      <c r="R45" s="25"/>
      <c r="S45" s="25"/>
      <c r="T45" s="63"/>
      <c r="U45" s="35">
        <v>286225</v>
      </c>
      <c r="V45" s="35">
        <v>1256</v>
      </c>
      <c r="W45" s="16">
        <f t="shared" si="19"/>
        <v>438.81561708446151</v>
      </c>
      <c r="X45" s="17">
        <f t="shared" si="20"/>
        <v>6.0840793182063591</v>
      </c>
      <c r="Y45" s="39"/>
      <c r="Z45" s="19"/>
      <c r="AA45" s="25"/>
      <c r="AB45" s="25"/>
      <c r="AC45" s="63"/>
      <c r="AD45" s="22" t="s">
        <v>62</v>
      </c>
      <c r="AE45" s="13">
        <v>1.9133</v>
      </c>
      <c r="AF45" s="13"/>
      <c r="AG45" s="13"/>
      <c r="AH45" s="13" t="s">
        <v>62</v>
      </c>
      <c r="AI45" s="13">
        <v>4.2683</v>
      </c>
      <c r="AJ45" s="13"/>
      <c r="AK45" s="13"/>
      <c r="AL45" s="13" t="s">
        <v>62</v>
      </c>
      <c r="AM45" s="27">
        <v>6.5750000000000002</v>
      </c>
      <c r="AN45" s="28"/>
      <c r="AO45" s="29"/>
      <c r="AP45" s="22" t="s">
        <v>62</v>
      </c>
      <c r="AQ45" s="27" t="s">
        <v>212</v>
      </c>
      <c r="AR45" s="28"/>
      <c r="AS45" s="13"/>
      <c r="AT45" s="13" t="s">
        <v>62</v>
      </c>
      <c r="AU45" s="13" t="s">
        <v>213</v>
      </c>
      <c r="AV45" s="13"/>
      <c r="AW45" s="13"/>
      <c r="AX45" s="13" t="s">
        <v>62</v>
      </c>
      <c r="AY45" s="13" t="s">
        <v>214</v>
      </c>
      <c r="AZ45" s="13"/>
      <c r="BA45" s="13"/>
      <c r="BB45" s="13" t="s">
        <v>62</v>
      </c>
      <c r="BC45" s="13" t="s">
        <v>215</v>
      </c>
      <c r="BD45" s="13"/>
      <c r="BE45" s="13"/>
      <c r="BF45" s="13" t="s">
        <v>62</v>
      </c>
      <c r="BG45" s="13" t="s">
        <v>216</v>
      </c>
      <c r="BH45" s="13"/>
      <c r="BI45" s="13"/>
      <c r="BJ45" s="13" t="s">
        <v>62</v>
      </c>
      <c r="BK45" s="13" t="s">
        <v>217</v>
      </c>
      <c r="BL45" s="13"/>
      <c r="BM45" s="13"/>
      <c r="BN45" s="13" t="s">
        <v>62</v>
      </c>
      <c r="BO45" s="13" t="s">
        <v>218</v>
      </c>
      <c r="BP45" s="13"/>
      <c r="BQ45" s="13"/>
      <c r="BR45" s="13" t="s">
        <v>62</v>
      </c>
      <c r="BS45" s="13" t="s">
        <v>219</v>
      </c>
      <c r="BT45" s="13"/>
      <c r="BU45" s="13"/>
      <c r="BV45" s="13" t="s">
        <v>62</v>
      </c>
      <c r="BW45" s="13" t="s">
        <v>220</v>
      </c>
      <c r="BX45" s="13"/>
      <c r="BY45" s="13"/>
    </row>
    <row r="46" spans="1:77" ht="15.6" thickTop="1" thickBot="1" x14ac:dyDescent="0.35">
      <c r="A46" s="38"/>
      <c r="B46" s="35">
        <v>2019</v>
      </c>
      <c r="C46" s="35">
        <v>965553</v>
      </c>
      <c r="D46" s="35">
        <v>55</v>
      </c>
      <c r="E46" s="16">
        <f t="shared" si="15"/>
        <v>5.6962176079407341</v>
      </c>
      <c r="F46" s="17">
        <f t="shared" si="16"/>
        <v>1.7398023770212148</v>
      </c>
      <c r="G46" s="24"/>
      <c r="H46" s="19"/>
      <c r="I46" s="25"/>
      <c r="J46" s="25"/>
      <c r="K46" s="63"/>
      <c r="L46" s="35">
        <v>539142</v>
      </c>
      <c r="M46" s="35">
        <v>278</v>
      </c>
      <c r="N46" s="16">
        <f t="shared" si="17"/>
        <v>51.563410010720744</v>
      </c>
      <c r="O46" s="17">
        <f t="shared" si="18"/>
        <v>3.9428123126319292</v>
      </c>
      <c r="P46" s="24"/>
      <c r="Q46" s="19"/>
      <c r="R46" s="25"/>
      <c r="S46" s="25"/>
      <c r="T46" s="63"/>
      <c r="U46" s="35">
        <v>297945</v>
      </c>
      <c r="V46" s="35">
        <v>1433</v>
      </c>
      <c r="W46" s="16">
        <f t="shared" si="19"/>
        <v>480.96125123764455</v>
      </c>
      <c r="X46" s="17">
        <f t="shared" si="20"/>
        <v>6.1757867081032343</v>
      </c>
      <c r="Y46" s="39"/>
      <c r="Z46" s="19"/>
      <c r="AA46" s="25"/>
      <c r="AB46" s="25"/>
      <c r="AC46" s="63"/>
      <c r="AD46" s="22" t="s">
        <v>64</v>
      </c>
      <c r="AE46" s="13">
        <v>0.86650000000000005</v>
      </c>
      <c r="AF46" s="13"/>
      <c r="AG46" s="13"/>
      <c r="AH46" s="13" t="s">
        <v>64</v>
      </c>
      <c r="AI46" s="13">
        <v>0.25650000000000001</v>
      </c>
      <c r="AJ46" s="13"/>
      <c r="AK46" s="13"/>
      <c r="AL46" s="13" t="s">
        <v>64</v>
      </c>
      <c r="AM46" s="27">
        <v>0.72330000000000005</v>
      </c>
      <c r="AN46" s="28"/>
      <c r="AO46" s="29"/>
      <c r="AP46" s="22" t="s">
        <v>64</v>
      </c>
      <c r="AQ46" s="27" t="s">
        <v>221</v>
      </c>
      <c r="AR46" s="28"/>
      <c r="AS46" s="13"/>
      <c r="AT46" s="13" t="s">
        <v>64</v>
      </c>
      <c r="AU46" s="13" t="s">
        <v>222</v>
      </c>
      <c r="AV46" s="13"/>
      <c r="AW46" s="13"/>
      <c r="AX46" s="13" t="s">
        <v>64</v>
      </c>
      <c r="AY46" s="13" t="s">
        <v>223</v>
      </c>
      <c r="AZ46" s="13"/>
      <c r="BA46" s="13"/>
      <c r="BB46" s="13" t="s">
        <v>64</v>
      </c>
      <c r="BC46" s="13" t="s">
        <v>224</v>
      </c>
      <c r="BD46" s="13"/>
      <c r="BE46" s="13"/>
      <c r="BF46" s="13" t="s">
        <v>64</v>
      </c>
      <c r="BG46" s="13" t="s">
        <v>225</v>
      </c>
      <c r="BH46" s="13"/>
      <c r="BI46" s="13"/>
      <c r="BJ46" s="13" t="s">
        <v>64</v>
      </c>
      <c r="BK46" s="13" t="s">
        <v>226</v>
      </c>
      <c r="BL46" s="13"/>
      <c r="BM46" s="13"/>
      <c r="BN46" s="13" t="s">
        <v>64</v>
      </c>
      <c r="BO46" s="13" t="s">
        <v>227</v>
      </c>
      <c r="BP46" s="13"/>
      <c r="BQ46" s="13"/>
      <c r="BR46" s="13" t="s">
        <v>64</v>
      </c>
      <c r="BS46" s="13" t="s">
        <v>228</v>
      </c>
      <c r="BT46" s="13"/>
      <c r="BU46" s="13"/>
      <c r="BV46" s="13" t="s">
        <v>64</v>
      </c>
      <c r="BW46" s="13" t="s">
        <v>229</v>
      </c>
      <c r="BX46" s="13"/>
      <c r="BY46" s="13"/>
    </row>
    <row r="47" spans="1:77" ht="15.6" thickTop="1" thickBot="1" x14ac:dyDescent="0.35">
      <c r="A47" s="38"/>
      <c r="B47" s="35">
        <v>2020</v>
      </c>
      <c r="C47" s="35">
        <v>1001442</v>
      </c>
      <c r="D47" s="35">
        <v>42</v>
      </c>
      <c r="E47" s="16">
        <f t="shared" si="15"/>
        <v>4.1939523207534739</v>
      </c>
      <c r="F47" s="17">
        <f t="shared" si="16"/>
        <v>1.4336435639729215</v>
      </c>
      <c r="G47" s="24"/>
      <c r="H47" s="19"/>
      <c r="I47" s="25"/>
      <c r="J47" s="25"/>
      <c r="K47" s="63"/>
      <c r="L47" s="35">
        <v>561238</v>
      </c>
      <c r="M47" s="35">
        <v>286</v>
      </c>
      <c r="N47" s="16">
        <f t="shared" si="17"/>
        <v>50.958773283348599</v>
      </c>
      <c r="O47" s="17">
        <f t="shared" si="18"/>
        <v>3.9310169388263785</v>
      </c>
      <c r="P47" s="24"/>
      <c r="Q47" s="19"/>
      <c r="R47" s="25"/>
      <c r="S47" s="25"/>
      <c r="T47" s="63"/>
      <c r="U47" s="35">
        <v>308874</v>
      </c>
      <c r="V47" s="35">
        <v>1490</v>
      </c>
      <c r="W47" s="16">
        <f t="shared" si="19"/>
        <v>482.39735296593432</v>
      </c>
      <c r="X47" s="17">
        <f t="shared" si="20"/>
        <v>6.1787681581797083</v>
      </c>
      <c r="Y47" s="39"/>
      <c r="Z47" s="19"/>
      <c r="AA47" s="25"/>
      <c r="AB47" s="25"/>
      <c r="AC47" s="63"/>
      <c r="AD47" s="22" t="s">
        <v>66</v>
      </c>
      <c r="AE47" s="13">
        <v>0.83309999999999995</v>
      </c>
      <c r="AF47" s="13"/>
      <c r="AG47" s="13"/>
      <c r="AH47" s="13" t="s">
        <v>66</v>
      </c>
      <c r="AI47" s="13">
        <v>7.0599999999999996E-2</v>
      </c>
      <c r="AJ47" s="13"/>
      <c r="AK47" s="13"/>
      <c r="AL47" s="13" t="s">
        <v>66</v>
      </c>
      <c r="AM47" s="27">
        <v>0.65410000000000001</v>
      </c>
      <c r="AN47" s="28"/>
      <c r="AO47" s="29"/>
      <c r="AP47" s="22" t="s">
        <v>66</v>
      </c>
      <c r="AQ47" s="27" t="s">
        <v>230</v>
      </c>
      <c r="AR47" s="28"/>
      <c r="AS47" s="13"/>
      <c r="AT47" s="13" t="s">
        <v>66</v>
      </c>
      <c r="AU47" s="13" t="s">
        <v>231</v>
      </c>
      <c r="AV47" s="13"/>
      <c r="AW47" s="13"/>
      <c r="AX47" s="13" t="s">
        <v>66</v>
      </c>
      <c r="AY47" s="13" t="s">
        <v>232</v>
      </c>
      <c r="AZ47" s="13"/>
      <c r="BA47" s="13"/>
      <c r="BB47" s="13" t="s">
        <v>66</v>
      </c>
      <c r="BC47" s="13" t="s">
        <v>233</v>
      </c>
      <c r="BD47" s="13"/>
      <c r="BE47" s="13"/>
      <c r="BF47" s="13" t="s">
        <v>66</v>
      </c>
      <c r="BG47" s="13" t="s">
        <v>234</v>
      </c>
      <c r="BH47" s="13"/>
      <c r="BI47" s="13"/>
      <c r="BJ47" s="13" t="s">
        <v>66</v>
      </c>
      <c r="BK47" s="13" t="s">
        <v>235</v>
      </c>
      <c r="BL47" s="13"/>
      <c r="BM47" s="13"/>
      <c r="BN47" s="13" t="s">
        <v>66</v>
      </c>
      <c r="BO47" s="13" t="s">
        <v>236</v>
      </c>
      <c r="BP47" s="13"/>
      <c r="BQ47" s="13"/>
      <c r="BR47" s="13" t="s">
        <v>66</v>
      </c>
      <c r="BS47" s="13" t="s">
        <v>237</v>
      </c>
      <c r="BT47" s="13"/>
      <c r="BU47" s="13"/>
      <c r="BV47" s="13" t="s">
        <v>66</v>
      </c>
      <c r="BW47" s="13" t="s">
        <v>238</v>
      </c>
      <c r="BX47" s="13"/>
      <c r="BY47" s="13"/>
    </row>
    <row r="48" spans="1:77" ht="15.6" thickTop="1" thickBot="1" x14ac:dyDescent="0.35">
      <c r="A48" s="41"/>
      <c r="B48" s="35">
        <v>2021</v>
      </c>
      <c r="C48" s="35">
        <v>1034148</v>
      </c>
      <c r="D48" s="35">
        <v>43</v>
      </c>
      <c r="E48" s="16">
        <f t="shared" si="15"/>
        <v>4.1580121994143973</v>
      </c>
      <c r="F48" s="17">
        <f t="shared" si="16"/>
        <v>1.4250371233936137</v>
      </c>
      <c r="G48" s="31"/>
      <c r="H48" s="19"/>
      <c r="I48" s="32"/>
      <c r="J48" s="32"/>
      <c r="K48" s="64"/>
      <c r="L48" s="35">
        <v>583857</v>
      </c>
      <c r="M48" s="35">
        <v>259</v>
      </c>
      <c r="N48" s="16">
        <f t="shared" si="17"/>
        <v>44.360177235179165</v>
      </c>
      <c r="O48" s="17">
        <f t="shared" si="18"/>
        <v>3.7923421578569432</v>
      </c>
      <c r="P48" s="31"/>
      <c r="Q48" s="19"/>
      <c r="R48" s="32"/>
      <c r="S48" s="32"/>
      <c r="T48" s="64"/>
      <c r="U48" s="35">
        <v>316579</v>
      </c>
      <c r="V48" s="35">
        <v>1590</v>
      </c>
      <c r="W48" s="16">
        <f t="shared" si="19"/>
        <v>502.2443055287938</v>
      </c>
      <c r="X48" s="17">
        <f t="shared" si="20"/>
        <v>6.2190866657090043</v>
      </c>
      <c r="Y48" s="42"/>
      <c r="Z48" s="19"/>
      <c r="AA48" s="32"/>
      <c r="AB48" s="32"/>
      <c r="AC48" s="64"/>
      <c r="AD48" s="22" t="s">
        <v>68</v>
      </c>
      <c r="AE48" s="13">
        <v>0.93089999999999995</v>
      </c>
      <c r="AF48" s="13"/>
      <c r="AG48" s="13"/>
      <c r="AH48" s="13" t="s">
        <v>68</v>
      </c>
      <c r="AI48" s="13">
        <v>0.50649999999999995</v>
      </c>
      <c r="AJ48" s="13"/>
      <c r="AK48" s="13"/>
      <c r="AL48" s="13" t="s">
        <v>68</v>
      </c>
      <c r="AM48" s="27">
        <v>0.85050000000000003</v>
      </c>
      <c r="AN48" s="28"/>
      <c r="AO48" s="29"/>
      <c r="AP48" s="22" t="s">
        <v>68</v>
      </c>
      <c r="AQ48" s="27" t="s">
        <v>239</v>
      </c>
      <c r="AR48" s="28"/>
      <c r="AS48" s="13"/>
      <c r="AT48" s="13" t="s">
        <v>68</v>
      </c>
      <c r="AU48" s="13" t="s">
        <v>240</v>
      </c>
      <c r="AV48" s="13"/>
      <c r="AW48" s="13"/>
      <c r="AX48" s="13" t="s">
        <v>68</v>
      </c>
      <c r="AY48" s="13" t="s">
        <v>241</v>
      </c>
      <c r="AZ48" s="13"/>
      <c r="BA48" s="13"/>
      <c r="BB48" s="13" t="s">
        <v>68</v>
      </c>
      <c r="BC48" s="13" t="s">
        <v>242</v>
      </c>
      <c r="BD48" s="13"/>
      <c r="BE48" s="13"/>
      <c r="BF48" s="13" t="s">
        <v>68</v>
      </c>
      <c r="BG48" s="13" t="s">
        <v>243</v>
      </c>
      <c r="BH48" s="13"/>
      <c r="BI48" s="13"/>
      <c r="BJ48" s="13" t="s">
        <v>68</v>
      </c>
      <c r="BK48" s="13" t="s">
        <v>244</v>
      </c>
      <c r="BL48" s="13"/>
      <c r="BM48" s="13"/>
      <c r="BN48" s="13" t="s">
        <v>68</v>
      </c>
      <c r="BO48" s="13" t="s">
        <v>245</v>
      </c>
      <c r="BP48" s="13"/>
      <c r="BQ48" s="13"/>
      <c r="BR48" s="13" t="s">
        <v>68</v>
      </c>
      <c r="BS48" s="13" t="s">
        <v>246</v>
      </c>
      <c r="BT48" s="13"/>
      <c r="BU48" s="13"/>
      <c r="BV48" s="13" t="s">
        <v>68</v>
      </c>
      <c r="BW48" s="13" t="s">
        <v>247</v>
      </c>
      <c r="BX48" s="13"/>
      <c r="BY48" s="13"/>
    </row>
    <row r="49" spans="1:77" ht="15.6" thickTop="1" thickBot="1" x14ac:dyDescent="0.35">
      <c r="A49" s="14" t="s">
        <v>70</v>
      </c>
      <c r="B49" s="15">
        <v>2016</v>
      </c>
      <c r="C49" s="15">
        <v>807265</v>
      </c>
      <c r="D49" s="15">
        <v>47</v>
      </c>
      <c r="E49" s="16">
        <f t="shared" si="15"/>
        <v>5.822127801899005</v>
      </c>
      <c r="F49" s="17">
        <f t="shared" si="16"/>
        <v>1.7616657966281895</v>
      </c>
      <c r="G49" s="18">
        <v>-0.03</v>
      </c>
      <c r="H49" s="19">
        <f t="shared" ref="H49:H55" si="23">(EXP(G49)-1)*100</f>
        <v>-2.9554466451491845</v>
      </c>
      <c r="I49" s="20">
        <f>(EXP(-0.116) - 1) * 100</f>
        <v>-10.952477670252737</v>
      </c>
      <c r="J49" s="20">
        <f>(EXP(0.056) - 1) * 100</f>
        <v>5.7597683736611227</v>
      </c>
      <c r="K49" s="59">
        <v>0.38940000000000002</v>
      </c>
      <c r="L49" s="15">
        <v>448099</v>
      </c>
      <c r="M49" s="15">
        <v>238</v>
      </c>
      <c r="N49" s="16">
        <f t="shared" si="17"/>
        <v>53.11326291734639</v>
      </c>
      <c r="O49" s="17">
        <f t="shared" si="18"/>
        <v>3.972426669514681</v>
      </c>
      <c r="P49" s="18">
        <v>-1.6E-2</v>
      </c>
      <c r="Q49" s="19">
        <f t="shared" si="21"/>
        <v>-1.5872679944714863</v>
      </c>
      <c r="R49" s="20">
        <f>(EXP(-0.067) - 1) * 100</f>
        <v>-6.4804798663223417</v>
      </c>
      <c r="S49" s="20">
        <f>(EXP(0.035) - 1) * 100</f>
        <v>3.5619708799623284</v>
      </c>
      <c r="T49" s="59">
        <v>0.43669999999999998</v>
      </c>
      <c r="U49" s="15">
        <v>253322</v>
      </c>
      <c r="V49" s="15">
        <v>1081</v>
      </c>
      <c r="W49" s="16">
        <f t="shared" si="19"/>
        <v>426.72961685128018</v>
      </c>
      <c r="X49" s="17">
        <f t="shared" si="20"/>
        <v>6.0561505968578606</v>
      </c>
      <c r="Y49" s="18">
        <v>8.8999999999999999E-3</v>
      </c>
      <c r="Z49" s="19">
        <f t="shared" si="22"/>
        <v>0.89397227567253879</v>
      </c>
      <c r="AA49" s="20">
        <f>(EXP(-0.015) - 1) * 100</f>
        <v>-1.4888060396937353</v>
      </c>
      <c r="AB49" s="20">
        <f>(EXP(0.033) - 1) * 100</f>
        <v>3.3550539241305577</v>
      </c>
      <c r="AC49" s="59">
        <v>0.36670000000000003</v>
      </c>
      <c r="AD49" s="22" t="s">
        <v>71</v>
      </c>
      <c r="AE49" s="13">
        <v>2.4073000000000002</v>
      </c>
      <c r="AF49" s="13" t="s">
        <v>248</v>
      </c>
      <c r="AG49" s="13" t="s">
        <v>74</v>
      </c>
      <c r="AH49" s="13" t="s">
        <v>71</v>
      </c>
      <c r="AI49" s="13">
        <v>4.0952999999999999</v>
      </c>
      <c r="AJ49" s="13" t="s">
        <v>249</v>
      </c>
      <c r="AK49" s="13" t="s">
        <v>74</v>
      </c>
      <c r="AL49" s="13" t="s">
        <v>71</v>
      </c>
      <c r="AM49" s="27">
        <v>6.3860000000000001</v>
      </c>
      <c r="AN49" s="28" t="s">
        <v>250</v>
      </c>
      <c r="AO49" s="29" t="s">
        <v>74</v>
      </c>
      <c r="AP49" s="22" t="s">
        <v>71</v>
      </c>
      <c r="AQ49" s="27" t="s">
        <v>251</v>
      </c>
      <c r="AR49" s="28" t="s">
        <v>252</v>
      </c>
      <c r="AS49" s="13" t="s">
        <v>74</v>
      </c>
      <c r="AT49" s="13" t="s">
        <v>71</v>
      </c>
      <c r="AU49" s="13" t="s">
        <v>253</v>
      </c>
      <c r="AV49" s="13" t="s">
        <v>254</v>
      </c>
      <c r="AW49" s="13" t="s">
        <v>74</v>
      </c>
      <c r="AX49" s="13" t="s">
        <v>71</v>
      </c>
      <c r="AY49" s="13" t="s">
        <v>255</v>
      </c>
      <c r="AZ49" s="13" t="s">
        <v>256</v>
      </c>
      <c r="BA49" s="13" t="s">
        <v>74</v>
      </c>
      <c r="BB49" s="13" t="s">
        <v>71</v>
      </c>
      <c r="BC49" s="13" t="s">
        <v>257</v>
      </c>
      <c r="BD49" s="13" t="s">
        <v>258</v>
      </c>
      <c r="BE49" s="13" t="s">
        <v>74</v>
      </c>
      <c r="BF49" s="13" t="s">
        <v>71</v>
      </c>
      <c r="BG49" s="13" t="s">
        <v>259</v>
      </c>
      <c r="BH49" s="13" t="s">
        <v>260</v>
      </c>
      <c r="BI49" s="13" t="s">
        <v>74</v>
      </c>
      <c r="BJ49" s="13" t="s">
        <v>71</v>
      </c>
      <c r="BK49" s="13" t="s">
        <v>261</v>
      </c>
      <c r="BL49" s="13" t="s">
        <v>262</v>
      </c>
      <c r="BM49" s="13" t="s">
        <v>74</v>
      </c>
      <c r="BN49" s="13" t="s">
        <v>71</v>
      </c>
      <c r="BO49" s="13" t="s">
        <v>263</v>
      </c>
      <c r="BP49" s="13" t="s">
        <v>264</v>
      </c>
      <c r="BQ49" s="13" t="s">
        <v>74</v>
      </c>
      <c r="BR49" s="13" t="s">
        <v>71</v>
      </c>
      <c r="BS49" s="13" t="s">
        <v>265</v>
      </c>
      <c r="BT49" s="13" t="s">
        <v>266</v>
      </c>
      <c r="BU49" s="13" t="s">
        <v>267</v>
      </c>
      <c r="BV49" s="13" t="s">
        <v>71</v>
      </c>
      <c r="BW49" s="13" t="s">
        <v>268</v>
      </c>
      <c r="BX49" s="13" t="s">
        <v>269</v>
      </c>
      <c r="BY49" s="13" t="s">
        <v>74</v>
      </c>
    </row>
    <row r="50" spans="1:77" ht="15.6" thickTop="1" thickBot="1" x14ac:dyDescent="0.35">
      <c r="A50" s="23"/>
      <c r="B50" s="55">
        <v>2017</v>
      </c>
      <c r="C50" s="15">
        <v>836778</v>
      </c>
      <c r="D50" s="15">
        <v>34</v>
      </c>
      <c r="E50" s="16">
        <f t="shared" si="15"/>
        <v>4.0632043385461856</v>
      </c>
      <c r="F50" s="17">
        <f t="shared" si="16"/>
        <v>1.4019719082701743</v>
      </c>
      <c r="G50" s="24"/>
      <c r="H50" s="19"/>
      <c r="I50" s="25"/>
      <c r="J50" s="25"/>
      <c r="K50" s="60"/>
      <c r="L50" s="15">
        <v>462049</v>
      </c>
      <c r="M50" s="15">
        <v>205</v>
      </c>
      <c r="N50" s="16">
        <f t="shared" si="17"/>
        <v>44.367588718945392</v>
      </c>
      <c r="O50" s="17">
        <f t="shared" si="18"/>
        <v>3.7925092190627283</v>
      </c>
      <c r="P50" s="24"/>
      <c r="Q50" s="19"/>
      <c r="R50" s="25"/>
      <c r="S50" s="25"/>
      <c r="T50" s="60"/>
      <c r="U50" s="15">
        <v>260459</v>
      </c>
      <c r="V50" s="15">
        <v>1062</v>
      </c>
      <c r="W50" s="16">
        <f t="shared" si="19"/>
        <v>407.74171750640215</v>
      </c>
      <c r="X50" s="17">
        <f t="shared" si="20"/>
        <v>6.010633928618919</v>
      </c>
      <c r="Y50" s="24"/>
      <c r="Z50" s="19"/>
      <c r="AA50" s="25"/>
      <c r="AB50" s="25"/>
      <c r="AC50" s="60"/>
      <c r="AD50" s="22" t="s">
        <v>86</v>
      </c>
      <c r="AE50" s="13">
        <v>-0.1411</v>
      </c>
      <c r="AF50" s="13" t="s">
        <v>270</v>
      </c>
      <c r="AG50" s="13" t="s">
        <v>271</v>
      </c>
      <c r="AH50" s="13" t="s">
        <v>86</v>
      </c>
      <c r="AI50" s="13">
        <v>4.9399999999999999E-2</v>
      </c>
      <c r="AJ50" s="13" t="s">
        <v>272</v>
      </c>
      <c r="AK50" s="13" t="s">
        <v>273</v>
      </c>
      <c r="AL50" s="13" t="s">
        <v>86</v>
      </c>
      <c r="AM50" s="27">
        <v>5.3999999999999999E-2</v>
      </c>
      <c r="AN50" s="28" t="s">
        <v>274</v>
      </c>
      <c r="AO50" s="29" t="s">
        <v>275</v>
      </c>
      <c r="AP50" s="22" t="s">
        <v>86</v>
      </c>
      <c r="AQ50" s="27" t="s">
        <v>276</v>
      </c>
      <c r="AR50" s="28" t="s">
        <v>277</v>
      </c>
      <c r="AS50" s="13" t="s">
        <v>278</v>
      </c>
      <c r="AT50" s="13" t="s">
        <v>86</v>
      </c>
      <c r="AU50" s="13" t="s">
        <v>279</v>
      </c>
      <c r="AV50" s="13" t="s">
        <v>280</v>
      </c>
      <c r="AW50" s="13" t="s">
        <v>281</v>
      </c>
      <c r="AX50" s="13" t="s">
        <v>86</v>
      </c>
      <c r="AY50" s="13" t="s">
        <v>282</v>
      </c>
      <c r="AZ50" s="13" t="s">
        <v>283</v>
      </c>
      <c r="BA50" s="13" t="s">
        <v>284</v>
      </c>
      <c r="BB50" s="13" t="s">
        <v>86</v>
      </c>
      <c r="BC50" s="13" t="s">
        <v>285</v>
      </c>
      <c r="BD50" s="13" t="s">
        <v>286</v>
      </c>
      <c r="BE50" s="13" t="s">
        <v>287</v>
      </c>
      <c r="BF50" s="13" t="s">
        <v>86</v>
      </c>
      <c r="BG50" s="13" t="s">
        <v>288</v>
      </c>
      <c r="BH50" s="13" t="s">
        <v>289</v>
      </c>
      <c r="BI50" s="13" t="s">
        <v>290</v>
      </c>
      <c r="BJ50" s="13" t="s">
        <v>86</v>
      </c>
      <c r="BK50" s="13" t="s">
        <v>291</v>
      </c>
      <c r="BL50" s="13" t="s">
        <v>292</v>
      </c>
      <c r="BM50" s="13" t="s">
        <v>293</v>
      </c>
      <c r="BN50" s="13" t="s">
        <v>86</v>
      </c>
      <c r="BO50" s="13" t="s">
        <v>294</v>
      </c>
      <c r="BP50" s="13" t="s">
        <v>295</v>
      </c>
      <c r="BQ50" s="13" t="s">
        <v>296</v>
      </c>
      <c r="BR50" s="13" t="s">
        <v>86</v>
      </c>
      <c r="BS50" s="13" t="s">
        <v>297</v>
      </c>
      <c r="BT50" s="13" t="s">
        <v>298</v>
      </c>
      <c r="BU50" s="13" t="s">
        <v>299</v>
      </c>
      <c r="BV50" s="13" t="s">
        <v>86</v>
      </c>
      <c r="BW50" s="13" t="s">
        <v>300</v>
      </c>
      <c r="BX50" s="13" t="s">
        <v>301</v>
      </c>
      <c r="BY50" s="13" t="s">
        <v>302</v>
      </c>
    </row>
    <row r="51" spans="1:77" ht="15.6" thickTop="1" thickBot="1" x14ac:dyDescent="0.35">
      <c r="A51" s="23"/>
      <c r="B51" s="55">
        <v>2018</v>
      </c>
      <c r="C51" s="15">
        <v>865330</v>
      </c>
      <c r="D51" s="15">
        <v>46</v>
      </c>
      <c r="E51" s="16">
        <f t="shared" si="15"/>
        <v>5.3158910473460992</v>
      </c>
      <c r="F51" s="17">
        <f t="shared" si="16"/>
        <v>1.670700645408858</v>
      </c>
      <c r="G51" s="24"/>
      <c r="H51" s="19"/>
      <c r="I51" s="25"/>
      <c r="J51" s="25"/>
      <c r="K51" s="60"/>
      <c r="L51" s="15">
        <v>477910</v>
      </c>
      <c r="M51" s="15">
        <v>246</v>
      </c>
      <c r="N51" s="16">
        <f t="shared" si="17"/>
        <v>51.474126927664209</v>
      </c>
      <c r="O51" s="17">
        <f t="shared" si="18"/>
        <v>3.9410792916755821</v>
      </c>
      <c r="P51" s="24"/>
      <c r="Q51" s="19"/>
      <c r="R51" s="25"/>
      <c r="S51" s="25"/>
      <c r="T51" s="60"/>
      <c r="U51" s="15">
        <v>267598</v>
      </c>
      <c r="V51" s="15">
        <v>1114</v>
      </c>
      <c r="W51" s="16">
        <f t="shared" si="19"/>
        <v>416.29608591992468</v>
      </c>
      <c r="X51" s="17">
        <f t="shared" si="20"/>
        <v>6.031396752090731</v>
      </c>
      <c r="Y51" s="24"/>
      <c r="Z51" s="19"/>
      <c r="AA51" s="25"/>
      <c r="AB51" s="25"/>
      <c r="AC51" s="60"/>
      <c r="AD51" s="22" t="s">
        <v>111</v>
      </c>
      <c r="AE51" s="13" t="s">
        <v>303</v>
      </c>
      <c r="AF51" s="13"/>
      <c r="AG51" s="13"/>
      <c r="AH51" s="13" t="s">
        <v>111</v>
      </c>
      <c r="AI51" s="13" t="s">
        <v>304</v>
      </c>
      <c r="AJ51" s="13"/>
      <c r="AK51" s="13"/>
      <c r="AL51" s="13" t="s">
        <v>111</v>
      </c>
      <c r="AM51" s="27" t="s">
        <v>305</v>
      </c>
      <c r="AN51" s="28"/>
      <c r="AO51" s="29"/>
      <c r="AP51" s="22" t="s">
        <v>111</v>
      </c>
      <c r="AQ51" s="27" t="s">
        <v>306</v>
      </c>
      <c r="AR51" s="28"/>
      <c r="AS51" s="13"/>
      <c r="AT51" s="13" t="s">
        <v>111</v>
      </c>
      <c r="AU51" s="13" t="s">
        <v>307</v>
      </c>
      <c r="AV51" s="13"/>
      <c r="AW51" s="13"/>
      <c r="AX51" s="13" t="s">
        <v>111</v>
      </c>
      <c r="AY51" s="13" t="s">
        <v>308</v>
      </c>
      <c r="AZ51" s="13"/>
      <c r="BA51" s="13"/>
      <c r="BB51" s="13" t="s">
        <v>111</v>
      </c>
      <c r="BC51" s="13" t="s">
        <v>309</v>
      </c>
      <c r="BD51" s="13"/>
      <c r="BE51" s="13"/>
      <c r="BF51" s="13" t="s">
        <v>111</v>
      </c>
      <c r="BG51" s="13" t="s">
        <v>310</v>
      </c>
      <c r="BH51" s="13"/>
      <c r="BI51" s="13"/>
      <c r="BJ51" s="13" t="s">
        <v>111</v>
      </c>
      <c r="BK51" s="13" t="s">
        <v>311</v>
      </c>
      <c r="BL51" s="13"/>
      <c r="BM51" s="13"/>
      <c r="BN51" s="13" t="s">
        <v>111</v>
      </c>
      <c r="BO51" s="13" t="s">
        <v>312</v>
      </c>
      <c r="BP51" s="13"/>
      <c r="BQ51" s="13"/>
      <c r="BR51" s="13" t="s">
        <v>111</v>
      </c>
      <c r="BS51" s="13" t="s">
        <v>313</v>
      </c>
      <c r="BT51" s="13"/>
      <c r="BU51" s="13"/>
      <c r="BV51" s="13" t="s">
        <v>111</v>
      </c>
      <c r="BW51" s="13" t="s">
        <v>314</v>
      </c>
      <c r="BX51" s="13"/>
      <c r="BY51" s="13"/>
    </row>
    <row r="52" spans="1:77" ht="15.6" thickTop="1" thickBot="1" x14ac:dyDescent="0.35">
      <c r="A52" s="23"/>
      <c r="B52" s="55">
        <v>2019</v>
      </c>
      <c r="C52" s="15">
        <v>892465</v>
      </c>
      <c r="D52" s="15">
        <v>43</v>
      </c>
      <c r="E52" s="16">
        <f t="shared" si="15"/>
        <v>4.8181161165984099</v>
      </c>
      <c r="F52" s="17">
        <f t="shared" si="16"/>
        <v>1.5723830044830893</v>
      </c>
      <c r="G52" s="24"/>
      <c r="H52" s="19"/>
      <c r="I52" s="25"/>
      <c r="J52" s="25"/>
      <c r="K52" s="60"/>
      <c r="L52" s="15">
        <v>495744</v>
      </c>
      <c r="M52" s="15">
        <v>254</v>
      </c>
      <c r="N52" s="16">
        <f t="shared" si="17"/>
        <v>51.236121869351926</v>
      </c>
      <c r="O52" s="17">
        <f t="shared" si="18"/>
        <v>3.9364447885543958</v>
      </c>
      <c r="P52" s="24"/>
      <c r="Q52" s="19"/>
      <c r="R52" s="25"/>
      <c r="S52" s="25"/>
      <c r="T52" s="60"/>
      <c r="U52" s="15">
        <v>274294</v>
      </c>
      <c r="V52" s="15">
        <v>1180</v>
      </c>
      <c r="W52" s="16">
        <f t="shared" si="19"/>
        <v>430.19533784916911</v>
      </c>
      <c r="X52" s="17">
        <f t="shared" si="20"/>
        <v>6.0642393796042171</v>
      </c>
      <c r="Y52" s="24"/>
      <c r="Z52" s="19"/>
      <c r="AA52" s="25"/>
      <c r="AB52" s="25"/>
      <c r="AC52" s="60"/>
      <c r="AD52" s="22" t="s">
        <v>124</v>
      </c>
      <c r="AE52" s="13" t="s">
        <v>315</v>
      </c>
      <c r="AF52" s="13"/>
      <c r="AG52" s="13"/>
      <c r="AH52" s="13" t="s">
        <v>124</v>
      </c>
      <c r="AI52" s="13" t="s">
        <v>316</v>
      </c>
      <c r="AJ52" s="13"/>
      <c r="AK52" s="13"/>
      <c r="AL52" s="13" t="s">
        <v>124</v>
      </c>
      <c r="AM52" s="27" t="s">
        <v>317</v>
      </c>
      <c r="AN52" s="28"/>
      <c r="AO52" s="29"/>
      <c r="AP52" s="22" t="s">
        <v>124</v>
      </c>
      <c r="AQ52" s="27" t="s">
        <v>318</v>
      </c>
      <c r="AR52" s="28"/>
      <c r="AS52" s="13"/>
      <c r="AT52" s="13" t="s">
        <v>124</v>
      </c>
      <c r="AU52" s="13" t="s">
        <v>319</v>
      </c>
      <c r="AV52" s="13"/>
      <c r="AW52" s="13"/>
      <c r="AX52" s="13" t="s">
        <v>124</v>
      </c>
      <c r="AY52" s="13" t="s">
        <v>320</v>
      </c>
      <c r="AZ52" s="13"/>
      <c r="BA52" s="13"/>
      <c r="BB52" s="13" t="s">
        <v>124</v>
      </c>
      <c r="BC52" s="13" t="s">
        <v>321</v>
      </c>
      <c r="BD52" s="13"/>
      <c r="BE52" s="13"/>
      <c r="BF52" s="13" t="s">
        <v>124</v>
      </c>
      <c r="BG52" s="13" t="s">
        <v>322</v>
      </c>
      <c r="BH52" s="13"/>
      <c r="BI52" s="13"/>
      <c r="BJ52" s="13" t="s">
        <v>124</v>
      </c>
      <c r="BK52" s="13" t="s">
        <v>323</v>
      </c>
      <c r="BL52" s="13"/>
      <c r="BM52" s="13"/>
      <c r="BN52" s="13" t="s">
        <v>124</v>
      </c>
      <c r="BO52" s="13" t="s">
        <v>324</v>
      </c>
      <c r="BP52" s="13"/>
      <c r="BQ52" s="13"/>
      <c r="BR52" s="13" t="s">
        <v>124</v>
      </c>
      <c r="BS52" s="13" t="s">
        <v>325</v>
      </c>
      <c r="BT52" s="13"/>
      <c r="BU52" s="13"/>
      <c r="BV52" s="13" t="s">
        <v>124</v>
      </c>
      <c r="BW52" s="13" t="s">
        <v>326</v>
      </c>
      <c r="BX52" s="13"/>
      <c r="BY52" s="13"/>
    </row>
    <row r="53" spans="1:77" ht="15.6" thickTop="1" thickBot="1" x14ac:dyDescent="0.35">
      <c r="A53" s="23"/>
      <c r="B53" s="55">
        <v>2020</v>
      </c>
      <c r="C53" s="15">
        <v>916441</v>
      </c>
      <c r="D53" s="15">
        <v>43</v>
      </c>
      <c r="E53" s="16">
        <f t="shared" si="15"/>
        <v>4.6920641918028547</v>
      </c>
      <c r="F53" s="17">
        <f t="shared" si="16"/>
        <v>1.5458726118150463</v>
      </c>
      <c r="G53" s="24"/>
      <c r="H53" s="19"/>
      <c r="I53" s="25"/>
      <c r="J53" s="25"/>
      <c r="K53" s="60"/>
      <c r="L53" s="15">
        <v>514420</v>
      </c>
      <c r="M53" s="15">
        <v>234</v>
      </c>
      <c r="N53" s="16">
        <f t="shared" si="17"/>
        <v>45.488122545779717</v>
      </c>
      <c r="O53" s="17">
        <f t="shared" si="18"/>
        <v>3.817451248929367</v>
      </c>
      <c r="P53" s="24"/>
      <c r="Q53" s="19"/>
      <c r="R53" s="25"/>
      <c r="S53" s="25"/>
      <c r="T53" s="60"/>
      <c r="U53" s="15">
        <v>278782</v>
      </c>
      <c r="V53" s="15">
        <v>1149</v>
      </c>
      <c r="W53" s="16">
        <f t="shared" si="19"/>
        <v>412.14999533685818</v>
      </c>
      <c r="X53" s="17">
        <f t="shared" si="20"/>
        <v>6.0213873494450505</v>
      </c>
      <c r="Y53" s="24"/>
      <c r="Z53" s="19"/>
      <c r="AA53" s="25"/>
      <c r="AB53" s="25"/>
      <c r="AC53" s="60"/>
      <c r="AD53" s="22" t="s">
        <v>137</v>
      </c>
      <c r="AE53" s="13" t="s">
        <v>138</v>
      </c>
      <c r="AF53" s="13"/>
      <c r="AG53" s="13"/>
      <c r="AH53" s="13" t="s">
        <v>137</v>
      </c>
      <c r="AI53" s="13" t="s">
        <v>138</v>
      </c>
      <c r="AJ53" s="13"/>
      <c r="AK53" s="13"/>
      <c r="AL53" s="13" t="s">
        <v>137</v>
      </c>
      <c r="AM53" s="27" t="s">
        <v>138</v>
      </c>
      <c r="AN53" s="28"/>
      <c r="AO53" s="29"/>
      <c r="AP53" s="22" t="s">
        <v>137</v>
      </c>
      <c r="AQ53" s="27" t="s">
        <v>138</v>
      </c>
      <c r="AR53" s="28"/>
      <c r="AS53" s="13"/>
      <c r="AT53" s="13" t="s">
        <v>137</v>
      </c>
      <c r="AU53" s="13" t="s">
        <v>138</v>
      </c>
      <c r="AV53" s="13"/>
      <c r="AW53" s="13"/>
      <c r="AX53" s="13" t="s">
        <v>137</v>
      </c>
      <c r="AY53" s="13" t="s">
        <v>138</v>
      </c>
      <c r="AZ53" s="13"/>
      <c r="BA53" s="13"/>
      <c r="BB53" s="13" t="s">
        <v>137</v>
      </c>
      <c r="BC53" s="13" t="s">
        <v>138</v>
      </c>
      <c r="BD53" s="13"/>
      <c r="BE53" s="13"/>
      <c r="BF53" s="13" t="s">
        <v>137</v>
      </c>
      <c r="BG53" s="13" t="s">
        <v>138</v>
      </c>
      <c r="BH53" s="13"/>
      <c r="BI53" s="13"/>
      <c r="BJ53" s="13" t="s">
        <v>137</v>
      </c>
      <c r="BK53" s="13" t="s">
        <v>138</v>
      </c>
      <c r="BL53" s="13"/>
      <c r="BM53" s="13"/>
      <c r="BN53" s="13" t="s">
        <v>137</v>
      </c>
      <c r="BO53" s="13" t="s">
        <v>138</v>
      </c>
      <c r="BP53" s="13"/>
      <c r="BQ53" s="13"/>
      <c r="BR53" s="13" t="s">
        <v>137</v>
      </c>
      <c r="BS53" s="13" t="s">
        <v>138</v>
      </c>
      <c r="BT53" s="13"/>
      <c r="BU53" s="13"/>
      <c r="BV53" s="13" t="s">
        <v>137</v>
      </c>
      <c r="BW53" s="13" t="s">
        <v>138</v>
      </c>
      <c r="BX53" s="13"/>
      <c r="BY53" s="13"/>
    </row>
    <row r="54" spans="1:77" ht="15.6" thickTop="1" thickBot="1" x14ac:dyDescent="0.35">
      <c r="A54" s="30"/>
      <c r="B54" s="55">
        <v>2021</v>
      </c>
      <c r="C54" s="15">
        <v>936213</v>
      </c>
      <c r="D54" s="15">
        <v>41</v>
      </c>
      <c r="E54" s="16">
        <f t="shared" si="15"/>
        <v>4.3793452985591959</v>
      </c>
      <c r="F54" s="17">
        <f t="shared" si="16"/>
        <v>1.476899238001026</v>
      </c>
      <c r="G54" s="31"/>
      <c r="H54" s="19"/>
      <c r="I54" s="32"/>
      <c r="J54" s="32"/>
      <c r="K54" s="61"/>
      <c r="L54" s="15">
        <v>533352</v>
      </c>
      <c r="M54" s="15">
        <v>249</v>
      </c>
      <c r="N54" s="16">
        <f t="shared" si="17"/>
        <v>46.685865994690189</v>
      </c>
      <c r="O54" s="17">
        <f t="shared" si="18"/>
        <v>3.8434414635055218</v>
      </c>
      <c r="P54" s="31"/>
      <c r="Q54" s="19"/>
      <c r="R54" s="32"/>
      <c r="S54" s="32"/>
      <c r="T54" s="61"/>
      <c r="U54" s="15">
        <v>280154</v>
      </c>
      <c r="V54" s="15">
        <v>1259</v>
      </c>
      <c r="W54" s="16">
        <f t="shared" si="19"/>
        <v>449.39568951362469</v>
      </c>
      <c r="X54" s="17">
        <f t="shared" si="20"/>
        <v>6.1079037680577537</v>
      </c>
      <c r="Y54" s="31"/>
      <c r="Z54" s="19"/>
      <c r="AA54" s="32"/>
      <c r="AB54" s="32"/>
      <c r="AC54" s="61"/>
    </row>
    <row r="55" spans="1:77" ht="15.6" thickTop="1" thickBot="1" x14ac:dyDescent="0.35">
      <c r="A55" s="34" t="s">
        <v>139</v>
      </c>
      <c r="B55" s="35">
        <v>2016</v>
      </c>
      <c r="C55" s="35">
        <v>1869647</v>
      </c>
      <c r="D55" s="35">
        <v>83</v>
      </c>
      <c r="E55" s="16">
        <f t="shared" si="15"/>
        <v>4.4393406883759337</v>
      </c>
      <c r="F55" s="17">
        <f t="shared" si="16"/>
        <v>1.490505871808842</v>
      </c>
      <c r="G55" s="18">
        <v>6.1100000000000002E-2</v>
      </c>
      <c r="H55" s="19">
        <f t="shared" si="23"/>
        <v>6.3005209393285799</v>
      </c>
      <c r="I55" s="20">
        <f>(EXP(-0.018) - 1) * 100</f>
        <v>-1.7838967641699233</v>
      </c>
      <c r="J55" s="20">
        <f>(EXP(0.14) - 1) * 100</f>
        <v>15.027379885722736</v>
      </c>
      <c r="K55" s="62">
        <v>9.8100000000000007E-2</v>
      </c>
      <c r="L55" s="35">
        <v>1006310</v>
      </c>
      <c r="M55" s="35">
        <v>470</v>
      </c>
      <c r="N55" s="16">
        <f t="shared" si="17"/>
        <v>46.705289622482141</v>
      </c>
      <c r="O55" s="17">
        <f t="shared" si="18"/>
        <v>3.8438574264078684</v>
      </c>
      <c r="P55" s="18">
        <v>0.32</v>
      </c>
      <c r="Q55" s="19">
        <f t="shared" si="21"/>
        <v>37.712776433595721</v>
      </c>
      <c r="R55" s="20">
        <f>(EXP(-0.155) - 1) * 100</f>
        <v>-14.358482251638648</v>
      </c>
      <c r="S55" s="20">
        <f>(EXP(0.795) - 1) * 100</f>
        <v>121.44409968040746</v>
      </c>
      <c r="T55" s="62">
        <v>0.13469999999999999</v>
      </c>
      <c r="U55" s="35">
        <v>544753</v>
      </c>
      <c r="V55" s="35">
        <v>2876</v>
      </c>
      <c r="W55" s="16">
        <f t="shared" si="19"/>
        <v>527.94569281858014</v>
      </c>
      <c r="X55" s="17">
        <f t="shared" si="20"/>
        <v>6.2689934239061085</v>
      </c>
      <c r="Y55" s="36">
        <v>2.0899999999999998E-2</v>
      </c>
      <c r="Z55" s="19">
        <f t="shared" si="22"/>
        <v>2.1119934538304852</v>
      </c>
      <c r="AA55" s="20">
        <f>(EXP(0.001) - 1) * 100</f>
        <v>0.10005001667083846</v>
      </c>
      <c r="AB55" s="20">
        <f>(EXP(0.04) - 1) * 100</f>
        <v>4.0810774192388211</v>
      </c>
      <c r="AC55" s="62">
        <v>4.1399999999999999E-2</v>
      </c>
    </row>
    <row r="56" spans="1:77" ht="15.6" thickTop="1" thickBot="1" x14ac:dyDescent="0.35">
      <c r="A56" s="38"/>
      <c r="B56" s="35">
        <v>2017</v>
      </c>
      <c r="C56" s="35">
        <v>1946866</v>
      </c>
      <c r="D56" s="35">
        <v>73</v>
      </c>
      <c r="E56" s="16">
        <f t="shared" si="15"/>
        <v>3.7496160495894428</v>
      </c>
      <c r="F56" s="17">
        <f t="shared" si="16"/>
        <v>1.3216534479642872</v>
      </c>
      <c r="G56" s="24"/>
      <c r="H56" s="19"/>
      <c r="I56" s="25"/>
      <c r="J56" s="25"/>
      <c r="K56" s="63"/>
      <c r="L56" s="35">
        <v>1046287</v>
      </c>
      <c r="M56" s="35">
        <v>554</v>
      </c>
      <c r="N56" s="16">
        <f t="shared" si="17"/>
        <v>52.949143017164502</v>
      </c>
      <c r="O56" s="17">
        <f t="shared" si="18"/>
        <v>3.9693318871603407</v>
      </c>
      <c r="P56" s="24"/>
      <c r="Q56" s="19"/>
      <c r="R56" s="25"/>
      <c r="S56" s="25"/>
      <c r="T56" s="63"/>
      <c r="U56" s="35">
        <v>563898</v>
      </c>
      <c r="V56" s="35">
        <v>3013</v>
      </c>
      <c r="W56" s="16">
        <f t="shared" si="19"/>
        <v>534.31648986164168</v>
      </c>
      <c r="X56" s="17">
        <f t="shared" si="20"/>
        <v>6.2809883410396896</v>
      </c>
      <c r="Y56" s="39"/>
      <c r="Z56" s="19"/>
      <c r="AA56" s="25"/>
      <c r="AB56" s="25"/>
      <c r="AC56" s="63"/>
    </row>
    <row r="57" spans="1:77" ht="15.6" thickTop="1" thickBot="1" x14ac:dyDescent="0.35">
      <c r="A57" s="38"/>
      <c r="B57" s="35">
        <v>2018</v>
      </c>
      <c r="C57" s="35">
        <v>2023494</v>
      </c>
      <c r="D57" s="35">
        <v>88</v>
      </c>
      <c r="E57" s="16">
        <f t="shared" si="15"/>
        <v>4.3489133152853432</v>
      </c>
      <c r="F57" s="17">
        <f t="shared" si="16"/>
        <v>1.4699260013141511</v>
      </c>
      <c r="G57" s="24"/>
      <c r="H57" s="19"/>
      <c r="I57" s="25"/>
      <c r="J57" s="25"/>
      <c r="K57" s="63"/>
      <c r="L57" s="35">
        <v>1090619</v>
      </c>
      <c r="M57" s="35">
        <v>544</v>
      </c>
      <c r="N57" s="16">
        <f t="shared" si="17"/>
        <v>49.879930571537813</v>
      </c>
      <c r="O57" s="17">
        <f t="shared" si="18"/>
        <v>3.9096187289010396</v>
      </c>
      <c r="P57" s="24"/>
      <c r="Q57" s="19"/>
      <c r="R57" s="25"/>
      <c r="S57" s="25"/>
      <c r="T57" s="63"/>
      <c r="U57" s="35">
        <v>583538</v>
      </c>
      <c r="V57" s="35">
        <v>2997</v>
      </c>
      <c r="W57" s="16">
        <f t="shared" si="19"/>
        <v>513.5912314193763</v>
      </c>
      <c r="X57" s="17">
        <f t="shared" si="20"/>
        <v>6.2414276794484218</v>
      </c>
      <c r="Y57" s="39"/>
      <c r="Z57" s="19"/>
      <c r="AA57" s="25"/>
      <c r="AB57" s="25"/>
      <c r="AC57" s="63"/>
    </row>
    <row r="58" spans="1:77" ht="15.6" thickTop="1" thickBot="1" x14ac:dyDescent="0.35">
      <c r="A58" s="38"/>
      <c r="B58" s="35">
        <v>2019</v>
      </c>
      <c r="C58" s="35">
        <v>2098671</v>
      </c>
      <c r="D58" s="35">
        <v>119</v>
      </c>
      <c r="E58" s="16">
        <f t="shared" si="15"/>
        <v>5.6702551281263238</v>
      </c>
      <c r="F58" s="17">
        <f t="shared" si="16"/>
        <v>1.7352341128695734</v>
      </c>
      <c r="G58" s="24"/>
      <c r="H58" s="19"/>
      <c r="I58" s="25"/>
      <c r="J58" s="25"/>
      <c r="K58" s="63"/>
      <c r="L58" s="35">
        <v>1139470</v>
      </c>
      <c r="M58" s="35">
        <v>621</v>
      </c>
      <c r="N58" s="16">
        <f t="shared" si="17"/>
        <v>54.499021474896232</v>
      </c>
      <c r="O58" s="17">
        <f t="shared" si="18"/>
        <v>3.9981827469189528</v>
      </c>
      <c r="P58" s="24"/>
      <c r="Q58" s="19"/>
      <c r="R58" s="25"/>
      <c r="S58" s="25"/>
      <c r="T58" s="63"/>
      <c r="U58" s="35">
        <v>603015</v>
      </c>
      <c r="V58" s="35">
        <v>3364</v>
      </c>
      <c r="W58" s="16">
        <f t="shared" si="19"/>
        <v>557.86340306625868</v>
      </c>
      <c r="X58" s="17">
        <f t="shared" si="20"/>
        <v>6.3241141350412473</v>
      </c>
      <c r="Y58" s="39"/>
      <c r="Z58" s="19"/>
      <c r="AA58" s="25"/>
      <c r="AB58" s="25"/>
      <c r="AC58" s="63"/>
    </row>
    <row r="59" spans="1:77" ht="15.6" thickTop="1" thickBot="1" x14ac:dyDescent="0.35">
      <c r="A59" s="38"/>
      <c r="B59" s="35">
        <v>2020</v>
      </c>
      <c r="C59" s="35">
        <v>2169995</v>
      </c>
      <c r="D59" s="35">
        <v>109</v>
      </c>
      <c r="E59" s="16">
        <f t="shared" si="15"/>
        <v>5.0230530485093281</v>
      </c>
      <c r="F59" s="17">
        <f t="shared" si="16"/>
        <v>1.6140379258328497</v>
      </c>
      <c r="G59" s="24"/>
      <c r="H59" s="19"/>
      <c r="I59" s="25"/>
      <c r="J59" s="25"/>
      <c r="K59" s="63"/>
      <c r="L59" s="35">
        <v>1190716</v>
      </c>
      <c r="M59" s="35">
        <v>645</v>
      </c>
      <c r="N59" s="16">
        <f t="shared" si="17"/>
        <v>54.169088178877246</v>
      </c>
      <c r="O59" s="17">
        <f t="shared" si="18"/>
        <v>3.9921104169432615</v>
      </c>
      <c r="P59" s="24"/>
      <c r="Q59" s="19"/>
      <c r="R59" s="25"/>
      <c r="S59" s="25"/>
      <c r="T59" s="63"/>
      <c r="U59" s="35">
        <v>620914</v>
      </c>
      <c r="V59" s="35">
        <v>3468</v>
      </c>
      <c r="W59" s="16">
        <f t="shared" si="19"/>
        <v>558.53145524178876</v>
      </c>
      <c r="X59" s="17">
        <f t="shared" si="20"/>
        <v>6.3253109378575596</v>
      </c>
      <c r="Y59" s="39"/>
      <c r="Z59" s="19"/>
      <c r="AA59" s="25"/>
      <c r="AB59" s="25"/>
      <c r="AC59" s="63"/>
    </row>
    <row r="60" spans="1:77" ht="15.6" thickTop="1" thickBot="1" x14ac:dyDescent="0.35">
      <c r="A60" s="41"/>
      <c r="B60" s="35">
        <v>2021</v>
      </c>
      <c r="C60" s="35">
        <v>2233324</v>
      </c>
      <c r="D60" s="35">
        <v>121</v>
      </c>
      <c r="E60" s="16">
        <f>(D60/C60)*100000</f>
        <v>5.4179330898696296</v>
      </c>
      <c r="F60" s="17">
        <f>LN(E60)</f>
        <v>1.6897143939870949</v>
      </c>
      <c r="G60" s="31"/>
      <c r="H60" s="19"/>
      <c r="I60" s="32"/>
      <c r="J60" s="32"/>
      <c r="K60" s="64"/>
      <c r="L60" s="35">
        <v>1240580</v>
      </c>
      <c r="M60" s="35">
        <v>712</v>
      </c>
      <c r="N60" s="16">
        <f t="shared" si="17"/>
        <v>57.39250995502104</v>
      </c>
      <c r="O60" s="17">
        <f t="shared" si="18"/>
        <v>4.0499138062226603</v>
      </c>
      <c r="P60" s="31"/>
      <c r="Q60" s="19"/>
      <c r="R60" s="32"/>
      <c r="S60" s="32"/>
      <c r="T60" s="64"/>
      <c r="U60" s="35">
        <v>634514</v>
      </c>
      <c r="V60" s="35">
        <v>3698</v>
      </c>
      <c r="W60" s="16">
        <f t="shared" si="19"/>
        <v>582.80825954982868</v>
      </c>
      <c r="X60" s="17">
        <f t="shared" si="20"/>
        <v>6.36785824640633</v>
      </c>
      <c r="Y60" s="42"/>
      <c r="Z60" s="19"/>
      <c r="AA60" s="32"/>
      <c r="AB60" s="32"/>
      <c r="AC60" s="64"/>
    </row>
    <row r="62" spans="1:77" x14ac:dyDescent="0.3">
      <c r="Z62" s="13"/>
    </row>
    <row r="63" spans="1:77" x14ac:dyDescent="0.3">
      <c r="H63" s="13"/>
    </row>
    <row r="64" spans="1:77" x14ac:dyDescent="0.3">
      <c r="P64" s="13"/>
    </row>
    <row r="65" spans="1:77" x14ac:dyDescent="0.3">
      <c r="K65" s="13" t="s">
        <v>327</v>
      </c>
    </row>
    <row r="66" spans="1:77" ht="15" thickBot="1" x14ac:dyDescent="0.35"/>
    <row r="67" spans="1:77" ht="15" thickBot="1" x14ac:dyDescent="0.35">
      <c r="A67" s="54"/>
      <c r="B67" s="55"/>
      <c r="C67" s="56" t="s">
        <v>328</v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8"/>
    </row>
    <row r="68" spans="1:77" ht="15" thickBot="1" x14ac:dyDescent="0.35">
      <c r="A68" s="1" t="s">
        <v>0</v>
      </c>
      <c r="B68" s="2"/>
      <c r="C68" s="1" t="s">
        <v>141</v>
      </c>
      <c r="D68" s="4"/>
      <c r="E68" s="4"/>
      <c r="F68" s="4"/>
      <c r="G68" s="4"/>
      <c r="H68" s="4"/>
      <c r="I68" s="4"/>
      <c r="J68" s="4"/>
      <c r="K68" s="2"/>
      <c r="L68" s="1" t="s">
        <v>142</v>
      </c>
      <c r="M68" s="4"/>
      <c r="N68" s="4"/>
      <c r="O68" s="4"/>
      <c r="P68" s="4"/>
      <c r="Q68" s="4"/>
      <c r="R68" s="4"/>
      <c r="S68" s="4"/>
      <c r="T68" s="2"/>
      <c r="U68" s="1" t="s">
        <v>143</v>
      </c>
      <c r="V68" s="4"/>
      <c r="W68" s="4"/>
      <c r="X68" s="4"/>
      <c r="Y68" s="4"/>
      <c r="Z68" s="4"/>
      <c r="AA68" s="4"/>
      <c r="AB68" s="4"/>
      <c r="AC68" s="65"/>
      <c r="AD68" s="5" t="s">
        <v>144</v>
      </c>
      <c r="AE68" s="6"/>
      <c r="AF68" s="6"/>
      <c r="AG68" s="7"/>
      <c r="AH68" s="5" t="s">
        <v>145</v>
      </c>
      <c r="AI68" s="6"/>
      <c r="AJ68" s="6"/>
      <c r="AK68" s="7"/>
      <c r="AL68" s="5" t="s">
        <v>146</v>
      </c>
      <c r="AM68" s="6"/>
      <c r="AN68" s="6"/>
      <c r="AO68" s="7"/>
      <c r="AP68" s="8" t="s">
        <v>147</v>
      </c>
      <c r="AQ68" s="8"/>
      <c r="AR68" s="8"/>
      <c r="AS68" s="8"/>
      <c r="AT68" s="8" t="s">
        <v>148</v>
      </c>
      <c r="AU68" s="8"/>
      <c r="AV68" s="8"/>
      <c r="AW68" s="8"/>
      <c r="AX68" s="8" t="s">
        <v>149</v>
      </c>
      <c r="AY68" s="8"/>
      <c r="AZ68" s="8"/>
      <c r="BA68" s="8"/>
      <c r="BB68" s="8" t="s">
        <v>150</v>
      </c>
      <c r="BC68" s="8"/>
      <c r="BD68" s="8"/>
      <c r="BE68" s="8"/>
      <c r="BF68" s="8" t="s">
        <v>151</v>
      </c>
      <c r="BG68" s="8"/>
      <c r="BH68" s="8"/>
      <c r="BI68" s="8"/>
      <c r="BJ68" s="8" t="s">
        <v>152</v>
      </c>
      <c r="BK68" s="8"/>
      <c r="BL68" s="8"/>
      <c r="BM68" s="8"/>
      <c r="BN68" s="8" t="s">
        <v>153</v>
      </c>
      <c r="BO68" s="8"/>
      <c r="BP68" s="8"/>
      <c r="BQ68" s="8"/>
      <c r="BR68" s="8" t="s">
        <v>154</v>
      </c>
      <c r="BS68" s="8"/>
      <c r="BT68" s="8"/>
      <c r="BU68" s="8"/>
      <c r="BV68" s="8" t="s">
        <v>155</v>
      </c>
      <c r="BW68" s="8"/>
      <c r="BX68" s="8"/>
      <c r="BY68" s="8"/>
    </row>
    <row r="69" spans="1:77" ht="19.8" thickBot="1" x14ac:dyDescent="0.35">
      <c r="A69" s="9" t="s">
        <v>16</v>
      </c>
      <c r="B69" s="10" t="s">
        <v>17</v>
      </c>
      <c r="C69" s="10" t="s">
        <v>27</v>
      </c>
      <c r="D69" s="10" t="s">
        <v>19</v>
      </c>
      <c r="E69" s="10" t="s">
        <v>20</v>
      </c>
      <c r="F69" s="10" t="s">
        <v>21</v>
      </c>
      <c r="G69" s="10" t="s">
        <v>22</v>
      </c>
      <c r="H69" s="10" t="s">
        <v>23</v>
      </c>
      <c r="I69" s="10" t="s">
        <v>24</v>
      </c>
      <c r="J69" s="10" t="s">
        <v>25</v>
      </c>
      <c r="K69" s="10" t="s">
        <v>26</v>
      </c>
      <c r="L69" s="10" t="s">
        <v>27</v>
      </c>
      <c r="M69" s="10" t="s">
        <v>19</v>
      </c>
      <c r="N69" s="10" t="s">
        <v>20</v>
      </c>
      <c r="O69" s="10" t="s">
        <v>21</v>
      </c>
      <c r="P69" s="10" t="s">
        <v>22</v>
      </c>
      <c r="Q69" s="10" t="s">
        <v>23</v>
      </c>
      <c r="R69" s="10" t="s">
        <v>24</v>
      </c>
      <c r="S69" s="10" t="s">
        <v>25</v>
      </c>
      <c r="T69" s="10" t="s">
        <v>26</v>
      </c>
      <c r="U69" s="10" t="s">
        <v>27</v>
      </c>
      <c r="V69" s="10" t="s">
        <v>19</v>
      </c>
      <c r="W69" s="10" t="s">
        <v>20</v>
      </c>
      <c r="X69" s="10" t="s">
        <v>21</v>
      </c>
      <c r="Y69" s="10" t="s">
        <v>22</v>
      </c>
      <c r="Z69" s="10" t="s">
        <v>23</v>
      </c>
      <c r="AA69" s="10" t="s">
        <v>24</v>
      </c>
      <c r="AB69" s="10" t="s">
        <v>25</v>
      </c>
      <c r="AC69" s="66" t="s">
        <v>26</v>
      </c>
      <c r="AD69" s="12" t="s">
        <v>28</v>
      </c>
      <c r="AE69" s="13" t="s">
        <v>29</v>
      </c>
      <c r="AF69" s="13" t="s">
        <v>30</v>
      </c>
      <c r="AG69" s="13" t="s">
        <v>31</v>
      </c>
      <c r="AH69" s="13" t="s">
        <v>28</v>
      </c>
      <c r="AI69" s="13" t="s">
        <v>29</v>
      </c>
      <c r="AJ69" s="13" t="s">
        <v>30</v>
      </c>
      <c r="AK69" s="13" t="s">
        <v>31</v>
      </c>
      <c r="AL69" s="13" t="s">
        <v>28</v>
      </c>
      <c r="AM69" s="12" t="s">
        <v>29</v>
      </c>
      <c r="AN69" s="12" t="s">
        <v>30</v>
      </c>
      <c r="AO69" s="12" t="s">
        <v>31</v>
      </c>
      <c r="AP69" s="12" t="s">
        <v>28</v>
      </c>
      <c r="AQ69" s="12" t="s">
        <v>29</v>
      </c>
      <c r="AR69" s="12" t="s">
        <v>30</v>
      </c>
      <c r="AS69" s="13" t="s">
        <v>31</v>
      </c>
      <c r="AT69" s="13" t="s">
        <v>28</v>
      </c>
      <c r="AU69" s="13" t="s">
        <v>29</v>
      </c>
      <c r="AV69" s="13" t="s">
        <v>30</v>
      </c>
      <c r="AW69" s="13" t="s">
        <v>31</v>
      </c>
      <c r="AX69" s="13" t="s">
        <v>28</v>
      </c>
      <c r="AY69" s="13" t="s">
        <v>29</v>
      </c>
      <c r="AZ69" s="13" t="s">
        <v>30</v>
      </c>
      <c r="BA69" s="13" t="s">
        <v>31</v>
      </c>
      <c r="BB69" s="13" t="s">
        <v>28</v>
      </c>
      <c r="BC69" s="13" t="s">
        <v>29</v>
      </c>
      <c r="BD69" s="13" t="s">
        <v>30</v>
      </c>
      <c r="BE69" s="13" t="s">
        <v>31</v>
      </c>
      <c r="BF69" s="13" t="s">
        <v>28</v>
      </c>
      <c r="BG69" s="13" t="s">
        <v>29</v>
      </c>
      <c r="BH69" s="13" t="s">
        <v>30</v>
      </c>
      <c r="BI69" s="13" t="s">
        <v>31</v>
      </c>
      <c r="BJ69" s="13" t="s">
        <v>28</v>
      </c>
      <c r="BK69" s="13" t="s">
        <v>29</v>
      </c>
      <c r="BL69" s="13" t="s">
        <v>30</v>
      </c>
      <c r="BM69" s="13" t="s">
        <v>31</v>
      </c>
      <c r="BN69" s="13" t="s">
        <v>28</v>
      </c>
      <c r="BO69" s="13" t="s">
        <v>29</v>
      </c>
      <c r="BP69" s="13" t="s">
        <v>30</v>
      </c>
      <c r="BQ69" s="13" t="s">
        <v>31</v>
      </c>
      <c r="BR69" s="13" t="s">
        <v>28</v>
      </c>
      <c r="BS69" s="13" t="s">
        <v>29</v>
      </c>
      <c r="BT69" s="13" t="s">
        <v>30</v>
      </c>
      <c r="BU69" s="13" t="s">
        <v>31</v>
      </c>
      <c r="BV69" s="13" t="s">
        <v>28</v>
      </c>
      <c r="BW69" s="13" t="s">
        <v>29</v>
      </c>
      <c r="BX69" s="13" t="s">
        <v>30</v>
      </c>
      <c r="BY69" s="13" t="s">
        <v>31</v>
      </c>
    </row>
    <row r="70" spans="1:77" ht="15.6" thickTop="1" thickBot="1" x14ac:dyDescent="0.35">
      <c r="A70" s="14" t="s">
        <v>32</v>
      </c>
      <c r="B70" s="15">
        <v>2016</v>
      </c>
      <c r="C70" s="15">
        <v>132445</v>
      </c>
      <c r="D70" s="15">
        <v>10</v>
      </c>
      <c r="E70" s="16">
        <f>(D70/C70)*100000</f>
        <v>7.550303899731964</v>
      </c>
      <c r="F70" s="17">
        <f>LN(E70)</f>
        <v>2.0215878140709864</v>
      </c>
      <c r="G70" s="18">
        <v>2.9399999999999999E-2</v>
      </c>
      <c r="H70" s="67">
        <f t="shared" ref="H70:H88" si="24">(EXP(G70)-1)*100</f>
        <v>2.9836446677869999</v>
      </c>
      <c r="I70" s="20">
        <f>(EXP(-0.129) - 1) * 100</f>
        <v>-12.102603445441684</v>
      </c>
      <c r="J70" s="20">
        <f>(EXP(0.188) - 1) * 100</f>
        <v>20.683351534960526</v>
      </c>
      <c r="K70" s="68">
        <v>0.63349999999999995</v>
      </c>
      <c r="L70" s="15">
        <v>61361</v>
      </c>
      <c r="M70" s="15">
        <v>36</v>
      </c>
      <c r="N70" s="16">
        <f>(M70/L70)*100000</f>
        <v>58.669187268786366</v>
      </c>
      <c r="O70" s="17">
        <f>LN(N70)</f>
        <v>4.0719146702559392</v>
      </c>
      <c r="P70" s="18">
        <v>5.7099999999999998E-2</v>
      </c>
      <c r="Q70" s="19">
        <f t="shared" ref="Q70:Q88" si="25">(EXP(P70)-1)*100</f>
        <v>5.8761681269995147</v>
      </c>
      <c r="R70" s="20">
        <f>(EXP(-0.021) - 1) * 100</f>
        <v>-2.078103543054044</v>
      </c>
      <c r="S70" s="20">
        <f>(EXP(0.136) - 1) * 100</f>
        <v>14.568189359486183</v>
      </c>
      <c r="T70" s="59">
        <v>0.1134</v>
      </c>
      <c r="U70" s="15">
        <v>27254</v>
      </c>
      <c r="V70" s="15">
        <v>145</v>
      </c>
      <c r="W70" s="16">
        <f>(V70/U70)*100000</f>
        <v>532.0319953034417</v>
      </c>
      <c r="X70" s="17">
        <f>LN(W70)</f>
        <v>6.2767036290810365</v>
      </c>
      <c r="Y70" s="18">
        <v>3.0300000000000001E-2</v>
      </c>
      <c r="Z70" s="67">
        <f t="shared" ref="Z70:Z88" si="26">(EXP(Y70)-1)*100</f>
        <v>3.0763716688794407</v>
      </c>
      <c r="AA70" s="20">
        <f>(EXP(-0.019) - 1) * 100</f>
        <v>-1.8820637757194003</v>
      </c>
      <c r="AB70" s="20">
        <f>(EXP(-0.08) - 1) * 100</f>
        <v>-7.6883653613364249</v>
      </c>
      <c r="AC70" s="69">
        <v>0.16619999999999999</v>
      </c>
      <c r="AD70" s="22" t="s">
        <v>33</v>
      </c>
      <c r="AE70" s="13">
        <v>1</v>
      </c>
      <c r="AF70" s="13" t="s">
        <v>329</v>
      </c>
      <c r="AG70" s="13" t="s">
        <v>329</v>
      </c>
      <c r="AH70" s="13" t="s">
        <v>33</v>
      </c>
      <c r="AI70" s="13">
        <v>1</v>
      </c>
      <c r="AJ70" s="13" t="s">
        <v>330</v>
      </c>
      <c r="AK70" s="13" t="s">
        <v>330</v>
      </c>
      <c r="AL70" s="13" t="s">
        <v>33</v>
      </c>
      <c r="AM70" s="22">
        <v>1</v>
      </c>
      <c r="AN70" s="22" t="s">
        <v>331</v>
      </c>
      <c r="AO70" s="22" t="s">
        <v>331</v>
      </c>
      <c r="AP70" s="22" t="s">
        <v>33</v>
      </c>
      <c r="AQ70" s="22">
        <v>1</v>
      </c>
      <c r="AR70" s="22" t="s">
        <v>332</v>
      </c>
      <c r="AS70" s="13" t="s">
        <v>332</v>
      </c>
      <c r="AT70" s="13" t="s">
        <v>33</v>
      </c>
      <c r="AU70" s="13">
        <v>1</v>
      </c>
      <c r="AV70" s="13" t="s">
        <v>170</v>
      </c>
      <c r="AW70" s="13" t="s">
        <v>170</v>
      </c>
      <c r="AX70" s="13" t="s">
        <v>33</v>
      </c>
      <c r="AY70" s="13">
        <v>1</v>
      </c>
      <c r="AZ70" s="13" t="s">
        <v>333</v>
      </c>
      <c r="BA70" s="13" t="s">
        <v>333</v>
      </c>
      <c r="BB70" s="13" t="s">
        <v>33</v>
      </c>
      <c r="BC70" s="13">
        <v>1</v>
      </c>
      <c r="BD70" s="13" t="s">
        <v>291</v>
      </c>
      <c r="BE70" s="13" t="s">
        <v>291</v>
      </c>
      <c r="BF70" s="13" t="s">
        <v>33</v>
      </c>
      <c r="BG70" s="13">
        <v>1</v>
      </c>
      <c r="BH70" s="13" t="s">
        <v>334</v>
      </c>
      <c r="BI70" s="13" t="s">
        <v>334</v>
      </c>
      <c r="BJ70" s="13" t="s">
        <v>33</v>
      </c>
      <c r="BK70" s="13">
        <v>1</v>
      </c>
      <c r="BL70" s="13" t="s">
        <v>335</v>
      </c>
      <c r="BM70" s="13" t="s">
        <v>335</v>
      </c>
      <c r="BN70" s="13" t="s">
        <v>33</v>
      </c>
      <c r="BO70" s="13">
        <v>1</v>
      </c>
      <c r="BP70" s="13" t="s">
        <v>336</v>
      </c>
      <c r="BQ70" s="13" t="s">
        <v>336</v>
      </c>
      <c r="BR70" s="13" t="s">
        <v>33</v>
      </c>
      <c r="BS70" s="13">
        <v>1</v>
      </c>
      <c r="BT70" s="13" t="s">
        <v>337</v>
      </c>
      <c r="BU70" s="13" t="s">
        <v>337</v>
      </c>
      <c r="BV70" s="13" t="s">
        <v>33</v>
      </c>
      <c r="BW70" s="13">
        <v>1</v>
      </c>
      <c r="BX70" s="13" t="s">
        <v>338</v>
      </c>
      <c r="BY70" s="13" t="s">
        <v>338</v>
      </c>
    </row>
    <row r="71" spans="1:77" ht="15.6" thickTop="1" thickBot="1" x14ac:dyDescent="0.35">
      <c r="A71" s="23"/>
      <c r="B71" s="55">
        <v>2017</v>
      </c>
      <c r="C71" s="15">
        <v>139503</v>
      </c>
      <c r="D71" s="15">
        <v>14</v>
      </c>
      <c r="E71" s="16">
        <f t="shared" ref="E71:E93" si="27">(D71/C71)*100000</f>
        <v>10.035626473982639</v>
      </c>
      <c r="F71" s="17">
        <f t="shared" ref="F71:F93" si="28">LN(E71)</f>
        <v>2.3061414091968229</v>
      </c>
      <c r="G71" s="24"/>
      <c r="H71" s="70"/>
      <c r="I71" s="25"/>
      <c r="J71" s="25"/>
      <c r="K71" s="71"/>
      <c r="L71" s="15">
        <v>63864</v>
      </c>
      <c r="M71" s="15">
        <v>45</v>
      </c>
      <c r="N71" s="16">
        <f t="shared" ref="N71:N93" si="29">(M71/L71)*100000</f>
        <v>70.462232243517477</v>
      </c>
      <c r="O71" s="17">
        <f t="shared" ref="O71:O93" si="30">LN(N71)</f>
        <v>4.2550768534149137</v>
      </c>
      <c r="P71" s="24"/>
      <c r="Q71" s="19"/>
      <c r="R71" s="25"/>
      <c r="S71" s="25"/>
      <c r="T71" s="60"/>
      <c r="U71" s="15">
        <v>28340</v>
      </c>
      <c r="V71" s="15">
        <v>174</v>
      </c>
      <c r="W71" s="16">
        <f t="shared" ref="W71:W93" si="31">(V71/U71)*100000</f>
        <v>613.97318278052228</v>
      </c>
      <c r="X71" s="17">
        <f t="shared" ref="X71:X93" si="32">LN(W71)</f>
        <v>6.4199512509400858</v>
      </c>
      <c r="Y71" s="24"/>
      <c r="Z71" s="70"/>
      <c r="AA71" s="25"/>
      <c r="AB71" s="25"/>
      <c r="AC71" s="72"/>
      <c r="AD71" s="22" t="s">
        <v>35</v>
      </c>
      <c r="AE71" s="13">
        <v>4</v>
      </c>
      <c r="AF71" s="13" t="s">
        <v>339</v>
      </c>
      <c r="AG71" s="13" t="s">
        <v>330</v>
      </c>
      <c r="AH71" s="13" t="s">
        <v>35</v>
      </c>
      <c r="AI71" s="13">
        <v>4</v>
      </c>
      <c r="AJ71" s="13" t="s">
        <v>340</v>
      </c>
      <c r="AK71" s="13" t="s">
        <v>341</v>
      </c>
      <c r="AL71" s="13" t="s">
        <v>35</v>
      </c>
      <c r="AM71" s="27">
        <v>4</v>
      </c>
      <c r="AN71" s="28" t="s">
        <v>342</v>
      </c>
      <c r="AO71" s="29" t="s">
        <v>343</v>
      </c>
      <c r="AP71" s="22" t="s">
        <v>35</v>
      </c>
      <c r="AQ71" s="27">
        <v>4</v>
      </c>
      <c r="AR71" s="28" t="s">
        <v>344</v>
      </c>
      <c r="AS71" s="13" t="s">
        <v>345</v>
      </c>
      <c r="AT71" s="13" t="s">
        <v>35</v>
      </c>
      <c r="AU71" s="13">
        <v>4</v>
      </c>
      <c r="AV71" s="13" t="s">
        <v>346</v>
      </c>
      <c r="AW71" s="13" t="s">
        <v>347</v>
      </c>
      <c r="AX71" s="13" t="s">
        <v>35</v>
      </c>
      <c r="AY71" s="13">
        <v>4</v>
      </c>
      <c r="AZ71" s="13" t="s">
        <v>348</v>
      </c>
      <c r="BA71" s="13" t="s">
        <v>349</v>
      </c>
      <c r="BB71" s="13" t="s">
        <v>35</v>
      </c>
      <c r="BC71" s="13">
        <v>4</v>
      </c>
      <c r="BD71" s="13" t="s">
        <v>350</v>
      </c>
      <c r="BE71" s="13" t="s">
        <v>351</v>
      </c>
      <c r="BF71" s="13" t="s">
        <v>35</v>
      </c>
      <c r="BG71" s="13">
        <v>4</v>
      </c>
      <c r="BH71" s="13" t="s">
        <v>352</v>
      </c>
      <c r="BI71" s="13" t="s">
        <v>37</v>
      </c>
      <c r="BJ71" s="13" t="s">
        <v>35</v>
      </c>
      <c r="BK71" s="13">
        <v>4</v>
      </c>
      <c r="BL71" s="13" t="s">
        <v>353</v>
      </c>
      <c r="BM71" s="13" t="s">
        <v>181</v>
      </c>
      <c r="BN71" s="13" t="s">
        <v>35</v>
      </c>
      <c r="BO71" s="13">
        <v>4</v>
      </c>
      <c r="BP71" s="13" t="s">
        <v>354</v>
      </c>
      <c r="BQ71" s="13" t="s">
        <v>355</v>
      </c>
      <c r="BR71" s="13" t="s">
        <v>35</v>
      </c>
      <c r="BS71" s="13">
        <v>4</v>
      </c>
      <c r="BT71" s="13" t="s">
        <v>356</v>
      </c>
      <c r="BU71" s="13" t="s">
        <v>335</v>
      </c>
      <c r="BV71" s="13" t="s">
        <v>35</v>
      </c>
      <c r="BW71" s="13">
        <v>4</v>
      </c>
      <c r="BX71" s="13" t="s">
        <v>357</v>
      </c>
      <c r="BY71" s="13" t="s">
        <v>358</v>
      </c>
    </row>
    <row r="72" spans="1:77" ht="15.6" thickTop="1" thickBot="1" x14ac:dyDescent="0.35">
      <c r="A72" s="23"/>
      <c r="B72" s="55">
        <v>2018</v>
      </c>
      <c r="C72" s="15">
        <v>146469</v>
      </c>
      <c r="D72" s="15">
        <v>9</v>
      </c>
      <c r="E72" s="16">
        <f t="shared" si="27"/>
        <v>6.1446449419331053</v>
      </c>
      <c r="F72" s="17">
        <f t="shared" si="28"/>
        <v>1.8155809613540572</v>
      </c>
      <c r="G72" s="24"/>
      <c r="H72" s="70"/>
      <c r="I72" s="25"/>
      <c r="J72" s="25"/>
      <c r="K72" s="71"/>
      <c r="L72" s="15">
        <v>66718</v>
      </c>
      <c r="M72" s="15">
        <v>54</v>
      </c>
      <c r="N72" s="16">
        <f t="shared" si="29"/>
        <v>80.937677987949286</v>
      </c>
      <c r="O72" s="17">
        <f t="shared" si="30"/>
        <v>4.3936794509703487</v>
      </c>
      <c r="P72" s="24"/>
      <c r="Q72" s="19"/>
      <c r="R72" s="25"/>
      <c r="S72" s="25"/>
      <c r="T72" s="60"/>
      <c r="U72" s="15">
        <v>29449</v>
      </c>
      <c r="V72" s="15">
        <v>153</v>
      </c>
      <c r="W72" s="16">
        <f t="shared" si="31"/>
        <v>519.54225949947363</v>
      </c>
      <c r="X72" s="17">
        <f t="shared" si="32"/>
        <v>6.2529481537168294</v>
      </c>
      <c r="Y72" s="24"/>
      <c r="Z72" s="70"/>
      <c r="AA72" s="25"/>
      <c r="AB72" s="25"/>
      <c r="AC72" s="72"/>
      <c r="AD72" s="22" t="s">
        <v>38</v>
      </c>
      <c r="AE72" s="13">
        <v>5</v>
      </c>
      <c r="AF72" s="13" t="s">
        <v>359</v>
      </c>
      <c r="AG72" s="13" t="s">
        <v>40</v>
      </c>
      <c r="AH72" s="13" t="s">
        <v>38</v>
      </c>
      <c r="AI72" s="13">
        <v>5</v>
      </c>
      <c r="AJ72" s="13" t="s">
        <v>360</v>
      </c>
      <c r="AK72" s="13" t="s">
        <v>40</v>
      </c>
      <c r="AL72" s="13" t="s">
        <v>38</v>
      </c>
      <c r="AM72" s="27">
        <v>5</v>
      </c>
      <c r="AN72" s="28" t="s">
        <v>361</v>
      </c>
      <c r="AO72" s="29" t="s">
        <v>40</v>
      </c>
      <c r="AP72" s="22" t="s">
        <v>38</v>
      </c>
      <c r="AQ72" s="27">
        <v>5</v>
      </c>
      <c r="AR72" s="28" t="s">
        <v>362</v>
      </c>
      <c r="AS72" s="13" t="s">
        <v>40</v>
      </c>
      <c r="AT72" s="13" t="s">
        <v>38</v>
      </c>
      <c r="AU72" s="13">
        <v>5</v>
      </c>
      <c r="AV72" s="13" t="s">
        <v>363</v>
      </c>
      <c r="AW72" s="13" t="s">
        <v>40</v>
      </c>
      <c r="AX72" s="13" t="s">
        <v>38</v>
      </c>
      <c r="AY72" s="13">
        <v>5</v>
      </c>
      <c r="AZ72" s="13" t="s">
        <v>364</v>
      </c>
      <c r="BA72" s="13" t="s">
        <v>40</v>
      </c>
      <c r="BB72" s="13" t="s">
        <v>38</v>
      </c>
      <c r="BC72" s="13">
        <v>5</v>
      </c>
      <c r="BD72" s="13" t="s">
        <v>365</v>
      </c>
      <c r="BE72" s="13" t="s">
        <v>40</v>
      </c>
      <c r="BF72" s="13" t="s">
        <v>38</v>
      </c>
      <c r="BG72" s="13">
        <v>5</v>
      </c>
      <c r="BH72" s="13" t="s">
        <v>366</v>
      </c>
      <c r="BI72" s="13" t="s">
        <v>40</v>
      </c>
      <c r="BJ72" s="13" t="s">
        <v>38</v>
      </c>
      <c r="BK72" s="13">
        <v>5</v>
      </c>
      <c r="BL72" s="13" t="s">
        <v>367</v>
      </c>
      <c r="BM72" s="13" t="s">
        <v>40</v>
      </c>
      <c r="BN72" s="13" t="s">
        <v>38</v>
      </c>
      <c r="BO72" s="13">
        <v>5</v>
      </c>
      <c r="BP72" s="13" t="s">
        <v>368</v>
      </c>
      <c r="BQ72" s="13" t="s">
        <v>40</v>
      </c>
      <c r="BR72" s="13" t="s">
        <v>38</v>
      </c>
      <c r="BS72" s="13">
        <v>5</v>
      </c>
      <c r="BT72" s="13" t="s">
        <v>369</v>
      </c>
      <c r="BU72" s="13" t="s">
        <v>40</v>
      </c>
      <c r="BV72" s="13" t="s">
        <v>38</v>
      </c>
      <c r="BW72" s="13">
        <v>5</v>
      </c>
      <c r="BX72" s="13" t="s">
        <v>370</v>
      </c>
      <c r="BY72" s="13" t="s">
        <v>40</v>
      </c>
    </row>
    <row r="73" spans="1:77" ht="15.6" thickTop="1" thickBot="1" x14ac:dyDescent="0.35">
      <c r="A73" s="23"/>
      <c r="B73" s="55">
        <v>2019</v>
      </c>
      <c r="C73" s="15">
        <v>153168</v>
      </c>
      <c r="D73" s="15">
        <v>13</v>
      </c>
      <c r="E73" s="16">
        <f t="shared" si="27"/>
        <v>8.4874125143633137</v>
      </c>
      <c r="F73" s="17">
        <f t="shared" si="28"/>
        <v>2.1385841852456307</v>
      </c>
      <c r="G73" s="24"/>
      <c r="H73" s="70"/>
      <c r="I73" s="25"/>
      <c r="J73" s="25"/>
      <c r="K73" s="71"/>
      <c r="L73" s="15">
        <v>70023</v>
      </c>
      <c r="M73" s="15">
        <v>58</v>
      </c>
      <c r="N73" s="16">
        <f t="shared" si="29"/>
        <v>82.829927309598276</v>
      </c>
      <c r="O73" s="17">
        <f t="shared" si="30"/>
        <v>4.4167894370243506</v>
      </c>
      <c r="P73" s="24"/>
      <c r="Q73" s="19"/>
      <c r="R73" s="25"/>
      <c r="S73" s="25"/>
      <c r="T73" s="60"/>
      <c r="U73" s="15">
        <v>30556</v>
      </c>
      <c r="V73" s="15">
        <v>188</v>
      </c>
      <c r="W73" s="16">
        <f t="shared" si="31"/>
        <v>615.26377798141118</v>
      </c>
      <c r="X73" s="17">
        <f t="shared" si="32"/>
        <v>6.4220510831389275</v>
      </c>
      <c r="Y73" s="24"/>
      <c r="Z73" s="70"/>
      <c r="AA73" s="25"/>
      <c r="AB73" s="25"/>
      <c r="AC73" s="72"/>
      <c r="AD73" s="22"/>
      <c r="AE73" s="13"/>
      <c r="AF73" s="13"/>
      <c r="AG73" s="13"/>
      <c r="AH73" s="13"/>
      <c r="AI73" s="13"/>
      <c r="AJ73" s="13"/>
      <c r="AK73" s="13"/>
      <c r="AL73" s="13"/>
      <c r="AM73" s="27"/>
      <c r="AN73" s="28"/>
      <c r="AO73" s="29"/>
      <c r="AP73" s="22"/>
      <c r="AQ73" s="27"/>
      <c r="AR73" s="28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</row>
    <row r="74" spans="1:77" ht="15.6" thickTop="1" thickBot="1" x14ac:dyDescent="0.35">
      <c r="A74" s="23"/>
      <c r="B74" s="55">
        <v>2020</v>
      </c>
      <c r="C74" s="15">
        <v>159127</v>
      </c>
      <c r="D74" s="15">
        <v>11</v>
      </c>
      <c r="E74" s="16">
        <f t="shared" si="27"/>
        <v>6.9127175149408968</v>
      </c>
      <c r="F74" s="17">
        <f t="shared" si="28"/>
        <v>1.9333628332526063</v>
      </c>
      <c r="G74" s="24"/>
      <c r="H74" s="70"/>
      <c r="I74" s="25"/>
      <c r="J74" s="25"/>
      <c r="K74" s="71"/>
      <c r="L74" s="15">
        <v>73583</v>
      </c>
      <c r="M74" s="15">
        <v>66</v>
      </c>
      <c r="N74" s="16">
        <f t="shared" si="29"/>
        <v>89.694630553252793</v>
      </c>
      <c r="O74" s="17">
        <f t="shared" si="30"/>
        <v>4.4964109072201426</v>
      </c>
      <c r="P74" s="24"/>
      <c r="Q74" s="19"/>
      <c r="R74" s="25"/>
      <c r="S74" s="25"/>
      <c r="T74" s="60"/>
      <c r="U74" s="15">
        <v>31430</v>
      </c>
      <c r="V74" s="15">
        <v>198</v>
      </c>
      <c r="W74" s="16">
        <f t="shared" si="31"/>
        <v>629.97136493795733</v>
      </c>
      <c r="X74" s="17">
        <f t="shared" si="32"/>
        <v>6.4456743658731499</v>
      </c>
      <c r="Y74" s="24"/>
      <c r="Z74" s="70"/>
      <c r="AA74" s="25"/>
      <c r="AB74" s="25"/>
      <c r="AC74" s="72"/>
      <c r="AD74" s="22" t="s">
        <v>41</v>
      </c>
      <c r="AE74" s="13" t="s">
        <v>371</v>
      </c>
      <c r="AF74" s="13" t="s">
        <v>372</v>
      </c>
      <c r="AG74" s="13"/>
      <c r="AH74" s="13" t="s">
        <v>41</v>
      </c>
      <c r="AI74" s="13" t="s">
        <v>373</v>
      </c>
      <c r="AJ74" s="13" t="s">
        <v>374</v>
      </c>
      <c r="AK74" s="13"/>
      <c r="AL74" s="13" t="s">
        <v>41</v>
      </c>
      <c r="AM74" s="27" t="s">
        <v>375</v>
      </c>
      <c r="AN74" s="28" t="s">
        <v>376</v>
      </c>
      <c r="AO74" s="29"/>
      <c r="AP74" s="22" t="s">
        <v>41</v>
      </c>
      <c r="AQ74" s="27" t="s">
        <v>377</v>
      </c>
      <c r="AR74" s="28" t="s">
        <v>378</v>
      </c>
      <c r="AS74" s="13"/>
      <c r="AT74" s="13" t="s">
        <v>41</v>
      </c>
      <c r="AU74" s="13" t="s">
        <v>379</v>
      </c>
      <c r="AV74" s="13" t="s">
        <v>380</v>
      </c>
      <c r="AW74" s="13"/>
      <c r="AX74" s="13" t="s">
        <v>41</v>
      </c>
      <c r="AY74" s="13" t="s">
        <v>381</v>
      </c>
      <c r="AZ74" s="13" t="s">
        <v>382</v>
      </c>
      <c r="BA74" s="13"/>
      <c r="BB74" s="13" t="s">
        <v>41</v>
      </c>
      <c r="BC74" s="13" t="s">
        <v>383</v>
      </c>
      <c r="BD74" s="13" t="s">
        <v>384</v>
      </c>
      <c r="BE74" s="13"/>
      <c r="BF74" s="13" t="s">
        <v>41</v>
      </c>
      <c r="BG74" s="13" t="s">
        <v>385</v>
      </c>
      <c r="BH74" s="13" t="s">
        <v>386</v>
      </c>
      <c r="BI74" s="13"/>
      <c r="BJ74" s="13" t="s">
        <v>41</v>
      </c>
      <c r="BK74" s="13" t="s">
        <v>387</v>
      </c>
      <c r="BL74" s="13" t="s">
        <v>388</v>
      </c>
      <c r="BM74" s="13"/>
      <c r="BN74" s="13" t="s">
        <v>41</v>
      </c>
      <c r="BO74" s="13" t="s">
        <v>389</v>
      </c>
      <c r="BP74" s="13" t="s">
        <v>390</v>
      </c>
      <c r="BQ74" s="13"/>
      <c r="BR74" s="13" t="s">
        <v>41</v>
      </c>
      <c r="BS74" s="13" t="s">
        <v>391</v>
      </c>
      <c r="BT74" s="13" t="s">
        <v>392</v>
      </c>
      <c r="BU74" s="13"/>
      <c r="BV74" s="13" t="s">
        <v>41</v>
      </c>
      <c r="BW74" s="13" t="s">
        <v>393</v>
      </c>
      <c r="BX74" s="13" t="s">
        <v>394</v>
      </c>
      <c r="BY74" s="13"/>
    </row>
    <row r="75" spans="1:77" ht="15.6" thickTop="1" thickBot="1" x14ac:dyDescent="0.35">
      <c r="A75" s="30"/>
      <c r="B75" s="55">
        <v>2021</v>
      </c>
      <c r="C75" s="15">
        <v>164175</v>
      </c>
      <c r="D75" s="15">
        <v>18</v>
      </c>
      <c r="E75" s="16">
        <f t="shared" si="27"/>
        <v>10.9639104613979</v>
      </c>
      <c r="F75" s="17">
        <f t="shared" si="28"/>
        <v>2.3946090118072196</v>
      </c>
      <c r="G75" s="31"/>
      <c r="H75" s="73"/>
      <c r="I75" s="32"/>
      <c r="J75" s="32"/>
      <c r="K75" s="74"/>
      <c r="L75" s="15">
        <v>77207</v>
      </c>
      <c r="M75" s="15">
        <v>58</v>
      </c>
      <c r="N75" s="16">
        <f t="shared" si="29"/>
        <v>75.122722032976284</v>
      </c>
      <c r="O75" s="17">
        <f t="shared" si="30"/>
        <v>4.3191230700392511</v>
      </c>
      <c r="P75" s="31"/>
      <c r="Q75" s="19"/>
      <c r="R75" s="32"/>
      <c r="S75" s="32"/>
      <c r="T75" s="61"/>
      <c r="U75" s="15">
        <v>31969</v>
      </c>
      <c r="V75" s="15">
        <v>201</v>
      </c>
      <c r="W75" s="16">
        <f t="shared" si="31"/>
        <v>628.73408614595394</v>
      </c>
      <c r="X75" s="17">
        <f t="shared" si="32"/>
        <v>6.4437084107889921</v>
      </c>
      <c r="Y75" s="31"/>
      <c r="Z75" s="73"/>
      <c r="AA75" s="32"/>
      <c r="AB75" s="32"/>
      <c r="AC75" s="75"/>
      <c r="AD75" s="22" t="s">
        <v>55</v>
      </c>
      <c r="AE75" s="13" t="s">
        <v>56</v>
      </c>
      <c r="AF75" s="13"/>
      <c r="AG75" s="13"/>
      <c r="AH75" s="13" t="s">
        <v>55</v>
      </c>
      <c r="AI75" s="13" t="s">
        <v>56</v>
      </c>
      <c r="AJ75" s="13"/>
      <c r="AK75" s="13"/>
      <c r="AL75" s="13" t="s">
        <v>55</v>
      </c>
      <c r="AM75" s="27" t="s">
        <v>56</v>
      </c>
      <c r="AN75" s="28"/>
      <c r="AO75" s="29"/>
      <c r="AP75" s="22" t="s">
        <v>55</v>
      </c>
      <c r="AQ75" s="27" t="s">
        <v>56</v>
      </c>
      <c r="AR75" s="28"/>
      <c r="AS75" s="13"/>
      <c r="AT75" s="13" t="s">
        <v>55</v>
      </c>
      <c r="AU75" s="13" t="s">
        <v>56</v>
      </c>
      <c r="AV75" s="13"/>
      <c r="AW75" s="13"/>
      <c r="AX75" s="13" t="s">
        <v>55</v>
      </c>
      <c r="AY75" s="13" t="s">
        <v>56</v>
      </c>
      <c r="AZ75" s="13"/>
      <c r="BA75" s="13"/>
      <c r="BB75" s="13" t="s">
        <v>55</v>
      </c>
      <c r="BC75" s="13" t="s">
        <v>56</v>
      </c>
      <c r="BD75" s="13"/>
      <c r="BE75" s="13"/>
      <c r="BF75" s="13" t="s">
        <v>55</v>
      </c>
      <c r="BG75" s="13" t="s">
        <v>56</v>
      </c>
      <c r="BH75" s="13"/>
      <c r="BI75" s="13"/>
      <c r="BJ75" s="13" t="s">
        <v>55</v>
      </c>
      <c r="BK75" s="13" t="s">
        <v>56</v>
      </c>
      <c r="BL75" s="13"/>
      <c r="BM75" s="13"/>
      <c r="BN75" s="13" t="s">
        <v>55</v>
      </c>
      <c r="BO75" s="13" t="s">
        <v>56</v>
      </c>
      <c r="BP75" s="13"/>
      <c r="BQ75" s="13"/>
      <c r="BR75" s="13" t="s">
        <v>55</v>
      </c>
      <c r="BS75" s="13" t="s">
        <v>56</v>
      </c>
      <c r="BT75" s="13"/>
      <c r="BU75" s="13"/>
      <c r="BV75" s="13" t="s">
        <v>55</v>
      </c>
      <c r="BW75" s="13" t="s">
        <v>56</v>
      </c>
      <c r="BX75" s="13"/>
      <c r="BY75" s="13"/>
    </row>
    <row r="76" spans="1:77" ht="15.6" thickTop="1" thickBot="1" x14ac:dyDescent="0.35">
      <c r="A76" s="34" t="s">
        <v>57</v>
      </c>
      <c r="B76" s="35">
        <v>2016</v>
      </c>
      <c r="C76" s="35">
        <v>765610</v>
      </c>
      <c r="D76" s="35">
        <v>34</v>
      </c>
      <c r="E76" s="16">
        <f t="shared" si="27"/>
        <v>4.4409033319836464</v>
      </c>
      <c r="F76" s="17">
        <f t="shared" si="28"/>
        <v>1.4908578088998181</v>
      </c>
      <c r="G76" s="36">
        <v>9.1700000000000004E-2</v>
      </c>
      <c r="H76" s="67">
        <f t="shared" si="24"/>
        <v>9.6035961965676542</v>
      </c>
      <c r="I76" s="20">
        <f>(EXP(0.027) - 1) * 100</f>
        <v>2.7367802763489379</v>
      </c>
      <c r="J76" s="20">
        <f>(EXP(0.156) - 1) * 100</f>
        <v>16.882620308986908</v>
      </c>
      <c r="K76" s="62">
        <v>1.7000000000000001E-2</v>
      </c>
      <c r="L76" s="35">
        <v>390256</v>
      </c>
      <c r="M76" s="35">
        <v>179</v>
      </c>
      <c r="N76" s="16">
        <f t="shared" si="29"/>
        <v>45.867328112828503</v>
      </c>
      <c r="O76" s="17">
        <f t="shared" si="30"/>
        <v>3.8257530577917258</v>
      </c>
      <c r="P76" s="36">
        <v>8.6E-3</v>
      </c>
      <c r="Q76" s="67">
        <f t="shared" si="25"/>
        <v>0.8637086237645919</v>
      </c>
      <c r="R76" s="20">
        <f>(EXP(-0.037) - 1) * 100</f>
        <v>-3.6323864650946502</v>
      </c>
      <c r="S76" s="20">
        <f>(EXP(0.054) - 1) * 100</f>
        <v>5.5484602155080109</v>
      </c>
      <c r="T76" s="62">
        <v>0.62719999999999998</v>
      </c>
      <c r="U76" s="35">
        <v>167537</v>
      </c>
      <c r="V76" s="35">
        <v>548</v>
      </c>
      <c r="W76" s="16">
        <f t="shared" si="31"/>
        <v>327.09192596262318</v>
      </c>
      <c r="X76" s="17">
        <f t="shared" si="32"/>
        <v>5.7902412505424214</v>
      </c>
      <c r="Y76" s="36">
        <v>4.6300000000000001E-2</v>
      </c>
      <c r="Z76" s="67">
        <f t="shared" si="26"/>
        <v>4.7388580403284974</v>
      </c>
      <c r="AA76" s="20">
        <f>(EXP(0.013) - 1) * 100</f>
        <v>1.3084867359809182</v>
      </c>
      <c r="AB76" s="20">
        <f>(EXP(0.079) - 1) * 100</f>
        <v>8.2204322070314806</v>
      </c>
      <c r="AC76" s="76">
        <v>1.7500000000000002E-2</v>
      </c>
      <c r="AD76" s="22" t="s">
        <v>58</v>
      </c>
      <c r="AE76" s="13" t="s">
        <v>59</v>
      </c>
      <c r="AF76" s="13"/>
      <c r="AG76" s="13"/>
      <c r="AH76" s="13" t="s">
        <v>58</v>
      </c>
      <c r="AI76" s="13" t="s">
        <v>59</v>
      </c>
      <c r="AJ76" s="13"/>
      <c r="AK76" s="13"/>
      <c r="AL76" s="13" t="s">
        <v>58</v>
      </c>
      <c r="AM76" s="27" t="s">
        <v>59</v>
      </c>
      <c r="AN76" s="28"/>
      <c r="AO76" s="29"/>
      <c r="AP76" s="22" t="s">
        <v>58</v>
      </c>
      <c r="AQ76" s="27" t="s">
        <v>59</v>
      </c>
      <c r="AR76" s="28"/>
      <c r="AS76" s="13"/>
      <c r="AT76" s="13" t="s">
        <v>58</v>
      </c>
      <c r="AU76" s="13" t="s">
        <v>59</v>
      </c>
      <c r="AV76" s="13"/>
      <c r="AW76" s="13"/>
      <c r="AX76" s="13" t="s">
        <v>58</v>
      </c>
      <c r="AY76" s="13" t="s">
        <v>59</v>
      </c>
      <c r="AZ76" s="13"/>
      <c r="BA76" s="13"/>
      <c r="BB76" s="13" t="s">
        <v>58</v>
      </c>
      <c r="BC76" s="13" t="s">
        <v>59</v>
      </c>
      <c r="BD76" s="13"/>
      <c r="BE76" s="13"/>
      <c r="BF76" s="13" t="s">
        <v>58</v>
      </c>
      <c r="BG76" s="13" t="s">
        <v>59</v>
      </c>
      <c r="BH76" s="13"/>
      <c r="BI76" s="13"/>
      <c r="BJ76" s="13" t="s">
        <v>58</v>
      </c>
      <c r="BK76" s="13" t="s">
        <v>59</v>
      </c>
      <c r="BL76" s="13"/>
      <c r="BM76" s="13"/>
      <c r="BN76" s="13" t="s">
        <v>58</v>
      </c>
      <c r="BO76" s="13" t="s">
        <v>59</v>
      </c>
      <c r="BP76" s="13"/>
      <c r="BQ76" s="13"/>
      <c r="BR76" s="13" t="s">
        <v>58</v>
      </c>
      <c r="BS76" s="13" t="s">
        <v>59</v>
      </c>
      <c r="BT76" s="13"/>
      <c r="BU76" s="13"/>
      <c r="BV76" s="13" t="s">
        <v>58</v>
      </c>
      <c r="BW76" s="13" t="s">
        <v>59</v>
      </c>
      <c r="BX76" s="13"/>
      <c r="BY76" s="13"/>
    </row>
    <row r="77" spans="1:77" ht="15" thickBot="1" x14ac:dyDescent="0.35">
      <c r="A77" s="38"/>
      <c r="B77" s="35">
        <v>2017</v>
      </c>
      <c r="C77" s="35">
        <v>796740</v>
      </c>
      <c r="D77" s="35">
        <v>39</v>
      </c>
      <c r="E77" s="16">
        <f t="shared" si="27"/>
        <v>4.8949469086527602</v>
      </c>
      <c r="F77" s="17">
        <f t="shared" si="28"/>
        <v>1.5882034298874468</v>
      </c>
      <c r="G77" s="39"/>
      <c r="H77" s="70"/>
      <c r="I77" s="25"/>
      <c r="J77" s="25"/>
      <c r="K77" s="63"/>
      <c r="L77" s="35">
        <v>405144</v>
      </c>
      <c r="M77" s="35">
        <v>212</v>
      </c>
      <c r="N77" s="16">
        <f t="shared" si="29"/>
        <v>52.32707383053927</v>
      </c>
      <c r="O77" s="17">
        <f t="shared" si="30"/>
        <v>3.9575139011929066</v>
      </c>
      <c r="P77" s="39"/>
      <c r="Q77" s="70"/>
      <c r="R77" s="25"/>
      <c r="S77" s="25"/>
      <c r="T77" s="63"/>
      <c r="U77" s="35">
        <v>175160</v>
      </c>
      <c r="V77" s="35">
        <v>588</v>
      </c>
      <c r="W77" s="16">
        <f t="shared" si="31"/>
        <v>335.6930806120119</v>
      </c>
      <c r="X77" s="17">
        <f t="shared" si="32"/>
        <v>5.8161972919535208</v>
      </c>
      <c r="Y77" s="39"/>
      <c r="Z77" s="70"/>
      <c r="AA77" s="25"/>
      <c r="AB77" s="25"/>
      <c r="AC77" s="77"/>
      <c r="AD77" s="22" t="s">
        <v>60</v>
      </c>
      <c r="AE77" s="13" t="s">
        <v>61</v>
      </c>
      <c r="AF77" s="13"/>
      <c r="AG77" s="13"/>
      <c r="AH77" s="13" t="s">
        <v>60</v>
      </c>
      <c r="AI77" s="13" t="s">
        <v>61</v>
      </c>
      <c r="AJ77" s="13"/>
      <c r="AK77" s="13"/>
      <c r="AL77" s="13" t="s">
        <v>60</v>
      </c>
      <c r="AM77" s="27" t="s">
        <v>61</v>
      </c>
      <c r="AN77" s="28"/>
      <c r="AO77" s="29"/>
      <c r="AP77" s="22" t="s">
        <v>60</v>
      </c>
      <c r="AQ77" s="27" t="s">
        <v>61</v>
      </c>
      <c r="AR77" s="28"/>
      <c r="AS77" s="13"/>
      <c r="AT77" s="13" t="s">
        <v>60</v>
      </c>
      <c r="AU77" s="13" t="s">
        <v>61</v>
      </c>
      <c r="AV77" s="13"/>
      <c r="AW77" s="13"/>
      <c r="AX77" s="13" t="s">
        <v>60</v>
      </c>
      <c r="AY77" s="13" t="s">
        <v>61</v>
      </c>
      <c r="AZ77" s="13"/>
      <c r="BA77" s="13"/>
      <c r="BB77" s="13" t="s">
        <v>60</v>
      </c>
      <c r="BC77" s="13" t="s">
        <v>61</v>
      </c>
      <c r="BD77" s="13"/>
      <c r="BE77" s="13"/>
      <c r="BF77" s="13" t="s">
        <v>60</v>
      </c>
      <c r="BG77" s="13" t="s">
        <v>61</v>
      </c>
      <c r="BH77" s="13"/>
      <c r="BI77" s="13"/>
      <c r="BJ77" s="13" t="s">
        <v>60</v>
      </c>
      <c r="BK77" s="13" t="s">
        <v>61</v>
      </c>
      <c r="BL77" s="13"/>
      <c r="BM77" s="13"/>
      <c r="BN77" s="13" t="s">
        <v>60</v>
      </c>
      <c r="BO77" s="13" t="s">
        <v>61</v>
      </c>
      <c r="BP77" s="13"/>
      <c r="BQ77" s="13"/>
      <c r="BR77" s="13" t="s">
        <v>60</v>
      </c>
      <c r="BS77" s="13" t="s">
        <v>61</v>
      </c>
      <c r="BT77" s="13"/>
      <c r="BU77" s="13"/>
      <c r="BV77" s="13" t="s">
        <v>60</v>
      </c>
      <c r="BW77" s="13" t="s">
        <v>61</v>
      </c>
      <c r="BX77" s="13"/>
      <c r="BY77" s="13"/>
    </row>
    <row r="78" spans="1:77" ht="15" thickBot="1" x14ac:dyDescent="0.35">
      <c r="A78" s="38"/>
      <c r="B78" s="35">
        <v>2018</v>
      </c>
      <c r="C78" s="35">
        <v>827883</v>
      </c>
      <c r="D78" s="35">
        <v>44</v>
      </c>
      <c r="E78" s="16">
        <f t="shared" si="27"/>
        <v>5.3147606606247502</v>
      </c>
      <c r="F78" s="17">
        <f t="shared" si="28"/>
        <v>1.6704879798533188</v>
      </c>
      <c r="G78" s="39"/>
      <c r="H78" s="70"/>
      <c r="I78" s="25"/>
      <c r="J78" s="25"/>
      <c r="K78" s="63"/>
      <c r="L78" s="35">
        <v>421414</v>
      </c>
      <c r="M78" s="35">
        <v>186</v>
      </c>
      <c r="N78" s="16">
        <f t="shared" si="29"/>
        <v>44.137119317345885</v>
      </c>
      <c r="O78" s="17">
        <f t="shared" si="30"/>
        <v>3.7873011362917</v>
      </c>
      <c r="P78" s="39"/>
      <c r="Q78" s="70"/>
      <c r="R78" s="25"/>
      <c r="S78" s="25"/>
      <c r="T78" s="63"/>
      <c r="U78" s="35">
        <v>182966</v>
      </c>
      <c r="V78" s="35">
        <v>617</v>
      </c>
      <c r="W78" s="16">
        <f t="shared" si="31"/>
        <v>337.22112305018419</v>
      </c>
      <c r="X78" s="17">
        <f t="shared" si="32"/>
        <v>5.820738866663322</v>
      </c>
      <c r="Y78" s="39"/>
      <c r="Z78" s="70"/>
      <c r="AA78" s="25"/>
      <c r="AB78" s="25"/>
      <c r="AC78" s="77"/>
      <c r="AD78" s="22" t="s">
        <v>62</v>
      </c>
      <c r="AE78" s="13" t="s">
        <v>395</v>
      </c>
      <c r="AF78" s="13"/>
      <c r="AG78" s="13"/>
      <c r="AH78" s="13" t="s">
        <v>62</v>
      </c>
      <c r="AI78" s="13" t="s">
        <v>396</v>
      </c>
      <c r="AJ78" s="13"/>
      <c r="AK78" s="13"/>
      <c r="AL78" s="13" t="s">
        <v>62</v>
      </c>
      <c r="AM78" s="27" t="s">
        <v>397</v>
      </c>
      <c r="AN78" s="28"/>
      <c r="AO78" s="29"/>
      <c r="AP78" s="22" t="s">
        <v>62</v>
      </c>
      <c r="AQ78" s="27" t="s">
        <v>398</v>
      </c>
      <c r="AR78" s="28"/>
      <c r="AS78" s="13"/>
      <c r="AT78" s="13" t="s">
        <v>62</v>
      </c>
      <c r="AU78" s="13" t="s">
        <v>399</v>
      </c>
      <c r="AV78" s="13"/>
      <c r="AW78" s="13"/>
      <c r="AX78" s="13" t="s">
        <v>62</v>
      </c>
      <c r="AY78" s="13" t="s">
        <v>400</v>
      </c>
      <c r="AZ78" s="13"/>
      <c r="BA78" s="13"/>
      <c r="BB78" s="13" t="s">
        <v>62</v>
      </c>
      <c r="BC78" s="13" t="s">
        <v>401</v>
      </c>
      <c r="BD78" s="13"/>
      <c r="BE78" s="13"/>
      <c r="BF78" s="13" t="s">
        <v>62</v>
      </c>
      <c r="BG78" s="13" t="s">
        <v>402</v>
      </c>
      <c r="BH78" s="13"/>
      <c r="BI78" s="13"/>
      <c r="BJ78" s="13" t="s">
        <v>62</v>
      </c>
      <c r="BK78" s="13" t="s">
        <v>403</v>
      </c>
      <c r="BL78" s="13"/>
      <c r="BM78" s="13"/>
      <c r="BN78" s="13" t="s">
        <v>62</v>
      </c>
      <c r="BO78" s="13" t="s">
        <v>404</v>
      </c>
      <c r="BP78" s="13"/>
      <c r="BQ78" s="13"/>
      <c r="BR78" s="13" t="s">
        <v>62</v>
      </c>
      <c r="BS78" s="13" t="s">
        <v>405</v>
      </c>
      <c r="BT78" s="13"/>
      <c r="BU78" s="13"/>
      <c r="BV78" s="13" t="s">
        <v>62</v>
      </c>
      <c r="BW78" s="13" t="s">
        <v>406</v>
      </c>
      <c r="BX78" s="13"/>
      <c r="BY78" s="13"/>
    </row>
    <row r="79" spans="1:77" ht="15" thickBot="1" x14ac:dyDescent="0.35">
      <c r="A79" s="38"/>
      <c r="B79" s="35">
        <v>2019</v>
      </c>
      <c r="C79" s="35">
        <v>858772</v>
      </c>
      <c r="D79" s="35">
        <v>44</v>
      </c>
      <c r="E79" s="16">
        <f t="shared" si="27"/>
        <v>5.1235950869380931</v>
      </c>
      <c r="F79" s="17">
        <f t="shared" si="28"/>
        <v>1.6338563580662129</v>
      </c>
      <c r="G79" s="39"/>
      <c r="H79" s="70"/>
      <c r="I79" s="25"/>
      <c r="J79" s="25"/>
      <c r="K79" s="63"/>
      <c r="L79" s="35">
        <v>439348</v>
      </c>
      <c r="M79" s="35">
        <v>214</v>
      </c>
      <c r="N79" s="16">
        <f t="shared" si="29"/>
        <v>48.708540837786899</v>
      </c>
      <c r="O79" s="17">
        <f t="shared" si="30"/>
        <v>3.8858543912578076</v>
      </c>
      <c r="P79" s="39"/>
      <c r="Q79" s="70"/>
      <c r="R79" s="25"/>
      <c r="S79" s="25"/>
      <c r="T79" s="63"/>
      <c r="U79" s="35">
        <v>190771</v>
      </c>
      <c r="V79" s="35">
        <v>766</v>
      </c>
      <c r="W79" s="16">
        <f t="shared" si="31"/>
        <v>401.52853421117464</v>
      </c>
      <c r="X79" s="17">
        <f t="shared" si="32"/>
        <v>5.9952785998806482</v>
      </c>
      <c r="Y79" s="39"/>
      <c r="Z79" s="70"/>
      <c r="AA79" s="25"/>
      <c r="AB79" s="25"/>
      <c r="AC79" s="77"/>
      <c r="AD79" s="22" t="s">
        <v>64</v>
      </c>
      <c r="AE79" s="13" t="s">
        <v>407</v>
      </c>
      <c r="AF79" s="13"/>
      <c r="AG79" s="13"/>
      <c r="AH79" s="13" t="s">
        <v>64</v>
      </c>
      <c r="AI79" s="13" t="s">
        <v>408</v>
      </c>
      <c r="AJ79" s="13"/>
      <c r="AK79" s="13"/>
      <c r="AL79" s="13" t="s">
        <v>64</v>
      </c>
      <c r="AM79" s="27" t="s">
        <v>409</v>
      </c>
      <c r="AN79" s="28"/>
      <c r="AO79" s="29"/>
      <c r="AP79" s="22" t="s">
        <v>64</v>
      </c>
      <c r="AQ79" s="27" t="s">
        <v>410</v>
      </c>
      <c r="AR79" s="28"/>
      <c r="AS79" s="13"/>
      <c r="AT79" s="13" t="s">
        <v>64</v>
      </c>
      <c r="AU79" s="13" t="s">
        <v>411</v>
      </c>
      <c r="AV79" s="13"/>
      <c r="AW79" s="13"/>
      <c r="AX79" s="13" t="s">
        <v>64</v>
      </c>
      <c r="AY79" s="13" t="s">
        <v>412</v>
      </c>
      <c r="AZ79" s="13"/>
      <c r="BA79" s="13"/>
      <c r="BB79" s="13" t="s">
        <v>64</v>
      </c>
      <c r="BC79" s="13" t="s">
        <v>413</v>
      </c>
      <c r="BD79" s="13"/>
      <c r="BE79" s="13"/>
      <c r="BF79" s="13" t="s">
        <v>64</v>
      </c>
      <c r="BG79" s="13" t="s">
        <v>371</v>
      </c>
      <c r="BH79" s="13"/>
      <c r="BI79" s="13"/>
      <c r="BJ79" s="13" t="s">
        <v>64</v>
      </c>
      <c r="BK79" s="13" t="s">
        <v>414</v>
      </c>
      <c r="BL79" s="13"/>
      <c r="BM79" s="13"/>
      <c r="BN79" s="13" t="s">
        <v>64</v>
      </c>
      <c r="BO79" s="13" t="s">
        <v>415</v>
      </c>
      <c r="BP79" s="13"/>
      <c r="BQ79" s="13"/>
      <c r="BR79" s="13" t="s">
        <v>64</v>
      </c>
      <c r="BS79" s="13" t="s">
        <v>416</v>
      </c>
      <c r="BT79" s="13"/>
      <c r="BU79" s="13"/>
      <c r="BV79" s="13" t="s">
        <v>64</v>
      </c>
      <c r="BW79" s="13" t="s">
        <v>417</v>
      </c>
      <c r="BX79" s="13"/>
      <c r="BY79" s="13"/>
    </row>
    <row r="80" spans="1:77" ht="15" thickBot="1" x14ac:dyDescent="0.35">
      <c r="A80" s="38"/>
      <c r="B80" s="35">
        <v>2020</v>
      </c>
      <c r="C80" s="35">
        <v>888178</v>
      </c>
      <c r="D80" s="35">
        <v>65</v>
      </c>
      <c r="E80" s="16">
        <f t="shared" si="27"/>
        <v>7.3183528526939421</v>
      </c>
      <c r="F80" s="17">
        <f t="shared" si="28"/>
        <v>1.9903852825286152</v>
      </c>
      <c r="G80" s="39"/>
      <c r="H80" s="70"/>
      <c r="I80" s="25"/>
      <c r="J80" s="25"/>
      <c r="K80" s="63"/>
      <c r="L80" s="35">
        <v>458448</v>
      </c>
      <c r="M80" s="35">
        <v>217</v>
      </c>
      <c r="N80" s="16">
        <f t="shared" si="29"/>
        <v>47.333612536209124</v>
      </c>
      <c r="O80" s="17">
        <f t="shared" si="30"/>
        <v>3.8572206675680594</v>
      </c>
      <c r="P80" s="39"/>
      <c r="Q80" s="70"/>
      <c r="R80" s="25"/>
      <c r="S80" s="25"/>
      <c r="T80" s="63"/>
      <c r="U80" s="35">
        <v>198185</v>
      </c>
      <c r="V80" s="35">
        <v>759</v>
      </c>
      <c r="W80" s="16">
        <f t="shared" si="31"/>
        <v>382.97550268688349</v>
      </c>
      <c r="X80" s="17">
        <f t="shared" si="32"/>
        <v>5.9479710254819667</v>
      </c>
      <c r="Y80" s="39"/>
      <c r="Z80" s="70"/>
      <c r="AA80" s="25"/>
      <c r="AB80" s="25"/>
      <c r="AC80" s="77"/>
      <c r="AD80" s="22" t="s">
        <v>66</v>
      </c>
      <c r="AE80" s="13" t="s">
        <v>418</v>
      </c>
      <c r="AF80" s="13"/>
      <c r="AG80" s="13"/>
      <c r="AH80" s="13" t="s">
        <v>66</v>
      </c>
      <c r="AI80" s="13" t="s">
        <v>419</v>
      </c>
      <c r="AJ80" s="13"/>
      <c r="AK80" s="13"/>
      <c r="AL80" s="13" t="s">
        <v>66</v>
      </c>
      <c r="AM80" s="27" t="s">
        <v>420</v>
      </c>
      <c r="AN80" s="28"/>
      <c r="AO80" s="29"/>
      <c r="AP80" s="22" t="s">
        <v>66</v>
      </c>
      <c r="AQ80" s="27" t="s">
        <v>421</v>
      </c>
      <c r="AR80" s="28"/>
      <c r="AS80" s="13"/>
      <c r="AT80" s="13" t="s">
        <v>66</v>
      </c>
      <c r="AU80" s="13" t="s">
        <v>422</v>
      </c>
      <c r="AV80" s="13"/>
      <c r="AW80" s="13"/>
      <c r="AX80" s="13" t="s">
        <v>66</v>
      </c>
      <c r="AY80" s="13" t="s">
        <v>423</v>
      </c>
      <c r="AZ80" s="13"/>
      <c r="BA80" s="13"/>
      <c r="BB80" s="13" t="s">
        <v>66</v>
      </c>
      <c r="BC80" s="13" t="s">
        <v>424</v>
      </c>
      <c r="BD80" s="13"/>
      <c r="BE80" s="13"/>
      <c r="BF80" s="13" t="s">
        <v>66</v>
      </c>
      <c r="BG80" s="13" t="s">
        <v>425</v>
      </c>
      <c r="BH80" s="13"/>
      <c r="BI80" s="13"/>
      <c r="BJ80" s="13" t="s">
        <v>66</v>
      </c>
      <c r="BK80" s="13" t="s">
        <v>426</v>
      </c>
      <c r="BL80" s="13"/>
      <c r="BM80" s="13"/>
      <c r="BN80" s="13" t="s">
        <v>66</v>
      </c>
      <c r="BO80" s="13" t="s">
        <v>427</v>
      </c>
      <c r="BP80" s="13"/>
      <c r="BQ80" s="13"/>
      <c r="BR80" s="13" t="s">
        <v>66</v>
      </c>
      <c r="BS80" s="13" t="s">
        <v>428</v>
      </c>
      <c r="BT80" s="13"/>
      <c r="BU80" s="13"/>
      <c r="BV80" s="13" t="s">
        <v>66</v>
      </c>
      <c r="BW80" s="13" t="s">
        <v>429</v>
      </c>
      <c r="BX80" s="13"/>
      <c r="BY80" s="13"/>
    </row>
    <row r="81" spans="1:77" ht="15" thickBot="1" x14ac:dyDescent="0.35">
      <c r="A81" s="41"/>
      <c r="B81" s="35">
        <v>2021</v>
      </c>
      <c r="C81" s="35">
        <v>913646</v>
      </c>
      <c r="D81" s="35">
        <v>61</v>
      </c>
      <c r="E81" s="16">
        <f t="shared" si="27"/>
        <v>6.6765464961265089</v>
      </c>
      <c r="F81" s="17">
        <f t="shared" si="28"/>
        <v>1.8986008622644919</v>
      </c>
      <c r="G81" s="42"/>
      <c r="H81" s="73"/>
      <c r="I81" s="32"/>
      <c r="J81" s="32"/>
      <c r="K81" s="64"/>
      <c r="L81" s="35">
        <v>476730</v>
      </c>
      <c r="M81" s="35">
        <v>243</v>
      </c>
      <c r="N81" s="16">
        <f t="shared" si="29"/>
        <v>50.972248442514626</v>
      </c>
      <c r="O81" s="17">
        <f t="shared" si="30"/>
        <v>3.9312813364359851</v>
      </c>
      <c r="P81" s="42"/>
      <c r="Q81" s="73"/>
      <c r="R81" s="32"/>
      <c r="S81" s="32"/>
      <c r="T81" s="64"/>
      <c r="U81" s="35">
        <v>203865</v>
      </c>
      <c r="V81" s="35">
        <v>819</v>
      </c>
      <c r="W81" s="16">
        <f t="shared" si="31"/>
        <v>401.73644323449338</v>
      </c>
      <c r="X81" s="17">
        <f t="shared" si="32"/>
        <v>5.9957962597657399</v>
      </c>
      <c r="Y81" s="42"/>
      <c r="Z81" s="73"/>
      <c r="AA81" s="32"/>
      <c r="AB81" s="32"/>
      <c r="AC81" s="78"/>
      <c r="AD81" s="22" t="s">
        <v>68</v>
      </c>
      <c r="AE81" s="13" t="s">
        <v>430</v>
      </c>
      <c r="AF81" s="13"/>
      <c r="AG81" s="13"/>
      <c r="AH81" s="13" t="s">
        <v>68</v>
      </c>
      <c r="AI81" s="13" t="s">
        <v>431</v>
      </c>
      <c r="AJ81" s="13"/>
      <c r="AK81" s="13"/>
      <c r="AL81" s="13" t="s">
        <v>68</v>
      </c>
      <c r="AM81" s="27" t="s">
        <v>432</v>
      </c>
      <c r="AN81" s="28"/>
      <c r="AO81" s="29"/>
      <c r="AP81" s="22" t="s">
        <v>68</v>
      </c>
      <c r="AQ81" s="27" t="s">
        <v>433</v>
      </c>
      <c r="AR81" s="28"/>
      <c r="AS81" s="13"/>
      <c r="AT81" s="13" t="s">
        <v>68</v>
      </c>
      <c r="AU81" s="13" t="s">
        <v>434</v>
      </c>
      <c r="AV81" s="13"/>
      <c r="AW81" s="13"/>
      <c r="AX81" s="13" t="s">
        <v>68</v>
      </c>
      <c r="AY81" s="13" t="s">
        <v>435</v>
      </c>
      <c r="AZ81" s="13"/>
      <c r="BA81" s="13"/>
      <c r="BB81" s="13" t="s">
        <v>68</v>
      </c>
      <c r="BC81" s="13" t="s">
        <v>436</v>
      </c>
      <c r="BD81" s="13"/>
      <c r="BE81" s="13"/>
      <c r="BF81" s="13" t="s">
        <v>68</v>
      </c>
      <c r="BG81" s="13" t="s">
        <v>437</v>
      </c>
      <c r="BH81" s="13"/>
      <c r="BI81" s="13"/>
      <c r="BJ81" s="13" t="s">
        <v>68</v>
      </c>
      <c r="BK81" s="13" t="s">
        <v>438</v>
      </c>
      <c r="BL81" s="13"/>
      <c r="BM81" s="13"/>
      <c r="BN81" s="13" t="s">
        <v>68</v>
      </c>
      <c r="BO81" s="13" t="s">
        <v>439</v>
      </c>
      <c r="BP81" s="13"/>
      <c r="BQ81" s="13"/>
      <c r="BR81" s="13" t="s">
        <v>68</v>
      </c>
      <c r="BS81" s="13" t="s">
        <v>440</v>
      </c>
      <c r="BT81" s="13"/>
      <c r="BU81" s="13"/>
      <c r="BV81" s="13" t="s">
        <v>68</v>
      </c>
      <c r="BW81" s="13" t="s">
        <v>441</v>
      </c>
      <c r="BX81" s="13"/>
      <c r="BY81" s="13"/>
    </row>
    <row r="82" spans="1:77" ht="15.6" thickTop="1" thickBot="1" x14ac:dyDescent="0.35">
      <c r="A82" s="14" t="s">
        <v>70</v>
      </c>
      <c r="B82" s="15">
        <v>2016</v>
      </c>
      <c r="C82" s="15">
        <v>640621</v>
      </c>
      <c r="D82" s="15">
        <v>38</v>
      </c>
      <c r="E82" s="16">
        <f t="shared" si="27"/>
        <v>5.9317443543062121</v>
      </c>
      <c r="F82" s="17">
        <f t="shared" si="28"/>
        <v>1.7803183273096364</v>
      </c>
      <c r="G82" s="18">
        <v>2.2599999999999999E-2</v>
      </c>
      <c r="H82" s="67">
        <f t="shared" si="24"/>
        <v>2.285731478180808</v>
      </c>
      <c r="I82" s="20">
        <f>(EXP(-0.066) - 1) * 100</f>
        <v>-6.3869135708381153</v>
      </c>
      <c r="J82" s="20">
        <f>(EXP(0.112) - 1) * 100</f>
        <v>11.851286064504517</v>
      </c>
      <c r="K82" s="59">
        <v>0.52029999999999998</v>
      </c>
      <c r="L82" s="15">
        <v>304567</v>
      </c>
      <c r="M82" s="15">
        <v>168</v>
      </c>
      <c r="N82" s="16">
        <f t="shared" si="29"/>
        <v>55.160276720721548</v>
      </c>
      <c r="O82" s="17">
        <f t="shared" si="30"/>
        <v>4.0102430696043516</v>
      </c>
      <c r="P82" s="18">
        <v>-1.6299999999999999E-2</v>
      </c>
      <c r="Q82" s="67">
        <f t="shared" si="25"/>
        <v>-1.6167873859430304</v>
      </c>
      <c r="R82" s="20">
        <f>(EXP(-0.054) - 1) * 100</f>
        <v>-5.2567893498201679</v>
      </c>
      <c r="S82" s="20">
        <f>(EXP(0.021) - 1) * 100</f>
        <v>2.122205163752855</v>
      </c>
      <c r="T82" s="59">
        <v>0.29549999999999998</v>
      </c>
      <c r="U82" s="15">
        <v>125944</v>
      </c>
      <c r="V82" s="15">
        <v>440</v>
      </c>
      <c r="W82" s="16">
        <f t="shared" si="31"/>
        <v>349.36162103792162</v>
      </c>
      <c r="X82" s="17">
        <f t="shared" si="32"/>
        <v>5.8561075491880707</v>
      </c>
      <c r="Y82" s="18">
        <v>-1.7999999999999999E-2</v>
      </c>
      <c r="Z82" s="67">
        <f t="shared" si="26"/>
        <v>-1.7838967641699233</v>
      </c>
      <c r="AA82" s="20">
        <f>(EXP(-0.037) - 1) * 100</f>
        <v>-3.6323864650946502</v>
      </c>
      <c r="AB82" s="20">
        <f>(EXP(0.001) - 1) * 100</f>
        <v>0.10005001667083846</v>
      </c>
      <c r="AC82" s="69">
        <v>6.1400000000000003E-2</v>
      </c>
      <c r="AD82" s="22" t="s">
        <v>71</v>
      </c>
      <c r="AE82" s="13" t="s">
        <v>442</v>
      </c>
      <c r="AF82" s="13" t="s">
        <v>443</v>
      </c>
      <c r="AG82" s="13" t="s">
        <v>444</v>
      </c>
      <c r="AH82" s="13" t="s">
        <v>71</v>
      </c>
      <c r="AI82" s="13" t="s">
        <v>445</v>
      </c>
      <c r="AJ82" s="13" t="s">
        <v>446</v>
      </c>
      <c r="AK82" s="13" t="s">
        <v>74</v>
      </c>
      <c r="AL82" s="13" t="s">
        <v>71</v>
      </c>
      <c r="AM82" s="27" t="s">
        <v>447</v>
      </c>
      <c r="AN82" s="28" t="s">
        <v>448</v>
      </c>
      <c r="AO82" s="29" t="s">
        <v>74</v>
      </c>
      <c r="AP82" s="22" t="s">
        <v>71</v>
      </c>
      <c r="AQ82" s="27" t="s">
        <v>449</v>
      </c>
      <c r="AR82" s="28" t="s">
        <v>450</v>
      </c>
      <c r="AS82" s="13" t="s">
        <v>74</v>
      </c>
      <c r="AT82" s="13" t="s">
        <v>71</v>
      </c>
      <c r="AU82" s="13" t="s">
        <v>451</v>
      </c>
      <c r="AV82" s="13" t="s">
        <v>452</v>
      </c>
      <c r="AW82" s="13" t="s">
        <v>74</v>
      </c>
      <c r="AX82" s="13" t="s">
        <v>71</v>
      </c>
      <c r="AY82" s="13" t="s">
        <v>453</v>
      </c>
      <c r="AZ82" s="13" t="s">
        <v>454</v>
      </c>
      <c r="BA82" s="13" t="s">
        <v>74</v>
      </c>
      <c r="BB82" s="13" t="s">
        <v>71</v>
      </c>
      <c r="BC82" s="13" t="s">
        <v>455</v>
      </c>
      <c r="BD82" s="13" t="s">
        <v>456</v>
      </c>
      <c r="BE82" s="13" t="s">
        <v>74</v>
      </c>
      <c r="BF82" s="13" t="s">
        <v>71</v>
      </c>
      <c r="BG82" s="13" t="s">
        <v>457</v>
      </c>
      <c r="BH82" s="13" t="s">
        <v>458</v>
      </c>
      <c r="BI82" s="13" t="s">
        <v>74</v>
      </c>
      <c r="BJ82" s="13" t="s">
        <v>71</v>
      </c>
      <c r="BK82" s="13" t="s">
        <v>459</v>
      </c>
      <c r="BL82" s="13" t="s">
        <v>460</v>
      </c>
      <c r="BM82" s="13" t="s">
        <v>74</v>
      </c>
      <c r="BN82" s="13" t="s">
        <v>71</v>
      </c>
      <c r="BO82" s="13" t="s">
        <v>461</v>
      </c>
      <c r="BP82" s="13" t="s">
        <v>462</v>
      </c>
      <c r="BQ82" s="13" t="s">
        <v>74</v>
      </c>
      <c r="BR82" s="13" t="s">
        <v>71</v>
      </c>
      <c r="BS82" s="13" t="s">
        <v>463</v>
      </c>
      <c r="BT82" s="13" t="s">
        <v>464</v>
      </c>
      <c r="BU82" s="13" t="s">
        <v>74</v>
      </c>
      <c r="BV82" s="13" t="s">
        <v>71</v>
      </c>
      <c r="BW82" s="13" t="s">
        <v>465</v>
      </c>
      <c r="BX82" s="13" t="s">
        <v>466</v>
      </c>
      <c r="BY82" s="13" t="s">
        <v>74</v>
      </c>
    </row>
    <row r="83" spans="1:77" ht="15" thickBot="1" x14ac:dyDescent="0.35">
      <c r="A83" s="23"/>
      <c r="B83" s="55">
        <v>2017</v>
      </c>
      <c r="C83" s="15">
        <v>662662</v>
      </c>
      <c r="D83" s="15">
        <v>31</v>
      </c>
      <c r="E83" s="16">
        <f t="shared" si="27"/>
        <v>4.6781013548385149</v>
      </c>
      <c r="F83" s="17">
        <f t="shared" si="28"/>
        <v>1.5428923342031458</v>
      </c>
      <c r="G83" s="24"/>
      <c r="H83" s="70"/>
      <c r="I83" s="25"/>
      <c r="J83" s="25"/>
      <c r="K83" s="60"/>
      <c r="L83" s="15">
        <v>315845</v>
      </c>
      <c r="M83" s="15">
        <v>150</v>
      </c>
      <c r="N83" s="16">
        <f t="shared" si="29"/>
        <v>47.491649384983141</v>
      </c>
      <c r="O83" s="17">
        <f t="shared" si="30"/>
        <v>3.860553893164131</v>
      </c>
      <c r="P83" s="24"/>
      <c r="Q83" s="70"/>
      <c r="R83" s="25"/>
      <c r="S83" s="25"/>
      <c r="T83" s="60"/>
      <c r="U83" s="15">
        <v>130114</v>
      </c>
      <c r="V83" s="15">
        <v>421</v>
      </c>
      <c r="W83" s="16">
        <f t="shared" si="31"/>
        <v>323.56241449805555</v>
      </c>
      <c r="X83" s="17">
        <f t="shared" si="32"/>
        <v>5.7793920304103734</v>
      </c>
      <c r="Y83" s="24"/>
      <c r="Z83" s="70"/>
      <c r="AA83" s="25"/>
      <c r="AB83" s="25"/>
      <c r="AC83" s="72"/>
      <c r="AD83" s="22" t="s">
        <v>86</v>
      </c>
      <c r="AE83" s="13" t="s">
        <v>221</v>
      </c>
      <c r="AF83" s="13" t="s">
        <v>467</v>
      </c>
      <c r="AG83" s="13" t="s">
        <v>468</v>
      </c>
      <c r="AH83" s="13" t="s">
        <v>86</v>
      </c>
      <c r="AI83" s="13" t="s">
        <v>330</v>
      </c>
      <c r="AJ83" s="13" t="s">
        <v>469</v>
      </c>
      <c r="AK83" s="13" t="s">
        <v>470</v>
      </c>
      <c r="AL83" s="13" t="s">
        <v>86</v>
      </c>
      <c r="AM83" s="27" t="s">
        <v>471</v>
      </c>
      <c r="AN83" s="28" t="s">
        <v>472</v>
      </c>
      <c r="AO83" s="29" t="s">
        <v>473</v>
      </c>
      <c r="AP83" s="22" t="s">
        <v>86</v>
      </c>
      <c r="AQ83" s="27" t="s">
        <v>474</v>
      </c>
      <c r="AR83" s="28" t="s">
        <v>475</v>
      </c>
      <c r="AS83" s="13" t="s">
        <v>476</v>
      </c>
      <c r="AT83" s="13" t="s">
        <v>86</v>
      </c>
      <c r="AU83" s="13" t="s">
        <v>477</v>
      </c>
      <c r="AV83" s="13" t="s">
        <v>478</v>
      </c>
      <c r="AW83" s="13" t="s">
        <v>479</v>
      </c>
      <c r="AX83" s="13" t="s">
        <v>86</v>
      </c>
      <c r="AY83" s="13" t="s">
        <v>480</v>
      </c>
      <c r="AZ83" s="13" t="s">
        <v>481</v>
      </c>
      <c r="BA83" s="13" t="s">
        <v>482</v>
      </c>
      <c r="BB83" s="13" t="s">
        <v>86</v>
      </c>
      <c r="BC83" s="13" t="s">
        <v>483</v>
      </c>
      <c r="BD83" s="13" t="s">
        <v>484</v>
      </c>
      <c r="BE83" s="13" t="s">
        <v>485</v>
      </c>
      <c r="BF83" s="13" t="s">
        <v>86</v>
      </c>
      <c r="BG83" s="13" t="s">
        <v>486</v>
      </c>
      <c r="BH83" s="13" t="s">
        <v>487</v>
      </c>
      <c r="BI83" s="13" t="s">
        <v>488</v>
      </c>
      <c r="BJ83" s="13" t="s">
        <v>86</v>
      </c>
      <c r="BK83" s="13" t="s">
        <v>489</v>
      </c>
      <c r="BL83" s="13" t="s">
        <v>490</v>
      </c>
      <c r="BM83" s="13" t="s">
        <v>388</v>
      </c>
      <c r="BN83" s="13" t="s">
        <v>86</v>
      </c>
      <c r="BO83" s="13" t="s">
        <v>491</v>
      </c>
      <c r="BP83" s="13" t="s">
        <v>492</v>
      </c>
      <c r="BQ83" s="13" t="s">
        <v>493</v>
      </c>
      <c r="BR83" s="13" t="s">
        <v>86</v>
      </c>
      <c r="BS83" s="13" t="s">
        <v>494</v>
      </c>
      <c r="BT83" s="13" t="s">
        <v>495</v>
      </c>
      <c r="BU83" s="13" t="s">
        <v>496</v>
      </c>
      <c r="BV83" s="13" t="s">
        <v>86</v>
      </c>
      <c r="BW83" s="13" t="s">
        <v>497</v>
      </c>
      <c r="BX83" s="13" t="s">
        <v>498</v>
      </c>
      <c r="BY83" s="13" t="s">
        <v>499</v>
      </c>
    </row>
    <row r="84" spans="1:77" ht="15" thickBot="1" x14ac:dyDescent="0.35">
      <c r="A84" s="23"/>
      <c r="B84" s="55">
        <v>2018</v>
      </c>
      <c r="C84" s="15">
        <v>684023</v>
      </c>
      <c r="D84" s="15">
        <v>43</v>
      </c>
      <c r="E84" s="16">
        <f t="shared" si="27"/>
        <v>6.2863383248808882</v>
      </c>
      <c r="F84" s="17">
        <f t="shared" si="28"/>
        <v>1.8383787588934413</v>
      </c>
      <c r="G84" s="24"/>
      <c r="H84" s="70"/>
      <c r="I84" s="25"/>
      <c r="J84" s="25"/>
      <c r="K84" s="60"/>
      <c r="L84" s="15">
        <v>328388</v>
      </c>
      <c r="M84" s="15">
        <v>154</v>
      </c>
      <c r="N84" s="16">
        <f t="shared" si="29"/>
        <v>46.895745276928508</v>
      </c>
      <c r="O84" s="17">
        <f t="shared" si="30"/>
        <v>3.8479269522949764</v>
      </c>
      <c r="P84" s="24"/>
      <c r="Q84" s="70"/>
      <c r="R84" s="25"/>
      <c r="S84" s="25"/>
      <c r="T84" s="60"/>
      <c r="U84" s="15">
        <v>134555</v>
      </c>
      <c r="V84" s="15">
        <v>441</v>
      </c>
      <c r="W84" s="16">
        <f t="shared" si="31"/>
        <v>327.74701794805094</v>
      </c>
      <c r="X84" s="17">
        <f t="shared" si="32"/>
        <v>5.7922420240457457</v>
      </c>
      <c r="Y84" s="24"/>
      <c r="Z84" s="70"/>
      <c r="AA84" s="25"/>
      <c r="AB84" s="25"/>
      <c r="AC84" s="72"/>
      <c r="AD84" s="22" t="s">
        <v>111</v>
      </c>
      <c r="AE84" s="13" t="s">
        <v>500</v>
      </c>
      <c r="AF84" s="13"/>
      <c r="AG84" s="13"/>
      <c r="AH84" s="13" t="s">
        <v>111</v>
      </c>
      <c r="AI84" s="13" t="s">
        <v>501</v>
      </c>
      <c r="AJ84" s="13"/>
      <c r="AK84" s="13"/>
      <c r="AL84" s="13" t="s">
        <v>111</v>
      </c>
      <c r="AM84" s="27" t="s">
        <v>502</v>
      </c>
      <c r="AN84" s="28"/>
      <c r="AO84" s="29"/>
      <c r="AP84" s="22" t="s">
        <v>111</v>
      </c>
      <c r="AQ84" s="27" t="s">
        <v>503</v>
      </c>
      <c r="AR84" s="28"/>
      <c r="AS84" s="13"/>
      <c r="AT84" s="13" t="s">
        <v>111</v>
      </c>
      <c r="AU84" s="13" t="s">
        <v>504</v>
      </c>
      <c r="AV84" s="13"/>
      <c r="AW84" s="13"/>
      <c r="AX84" s="13" t="s">
        <v>111</v>
      </c>
      <c r="AY84" s="13" t="s">
        <v>505</v>
      </c>
      <c r="AZ84" s="13"/>
      <c r="BA84" s="13"/>
      <c r="BB84" s="13" t="s">
        <v>111</v>
      </c>
      <c r="BC84" s="13" t="s">
        <v>506</v>
      </c>
      <c r="BD84" s="13"/>
      <c r="BE84" s="13"/>
      <c r="BF84" s="13" t="s">
        <v>111</v>
      </c>
      <c r="BG84" s="13" t="s">
        <v>507</v>
      </c>
      <c r="BH84" s="13"/>
      <c r="BI84" s="13"/>
      <c r="BJ84" s="13" t="s">
        <v>111</v>
      </c>
      <c r="BK84" s="13" t="s">
        <v>508</v>
      </c>
      <c r="BL84" s="13"/>
      <c r="BM84" s="13"/>
      <c r="BN84" s="13" t="s">
        <v>111</v>
      </c>
      <c r="BO84" s="13" t="s">
        <v>509</v>
      </c>
      <c r="BP84" s="13"/>
      <c r="BQ84" s="13"/>
      <c r="BR84" s="13" t="s">
        <v>111</v>
      </c>
      <c r="BS84" s="13" t="s">
        <v>510</v>
      </c>
      <c r="BT84" s="13"/>
      <c r="BU84" s="13"/>
      <c r="BV84" s="13" t="s">
        <v>111</v>
      </c>
      <c r="BW84" s="13" t="s">
        <v>511</v>
      </c>
      <c r="BX84" s="13"/>
      <c r="BY84" s="13"/>
    </row>
    <row r="85" spans="1:77" ht="15" thickBot="1" x14ac:dyDescent="0.35">
      <c r="A85" s="23"/>
      <c r="B85" s="55">
        <v>2019</v>
      </c>
      <c r="C85" s="15">
        <v>704518</v>
      </c>
      <c r="D85" s="15">
        <v>48</v>
      </c>
      <c r="E85" s="16">
        <f t="shared" si="27"/>
        <v>6.81316871960688</v>
      </c>
      <c r="F85" s="17">
        <f t="shared" si="28"/>
        <v>1.9188573158481579</v>
      </c>
      <c r="G85" s="24"/>
      <c r="H85" s="70"/>
      <c r="I85" s="25"/>
      <c r="J85" s="25"/>
      <c r="K85" s="60"/>
      <c r="L85" s="15">
        <v>342072</v>
      </c>
      <c r="M85" s="15">
        <v>164</v>
      </c>
      <c r="N85" s="16">
        <f t="shared" si="29"/>
        <v>47.943123085198437</v>
      </c>
      <c r="O85" s="17">
        <f t="shared" si="30"/>
        <v>3.8700153725914501</v>
      </c>
      <c r="P85" s="24"/>
      <c r="Q85" s="70"/>
      <c r="R85" s="25"/>
      <c r="S85" s="25"/>
      <c r="T85" s="60"/>
      <c r="U85" s="15">
        <v>138987</v>
      </c>
      <c r="V85" s="15">
        <v>464</v>
      </c>
      <c r="W85" s="16">
        <f t="shared" si="31"/>
        <v>333.84417247656256</v>
      </c>
      <c r="X85" s="17">
        <f t="shared" si="32"/>
        <v>5.8106743346372633</v>
      </c>
      <c r="Y85" s="24"/>
      <c r="Z85" s="70"/>
      <c r="AA85" s="25"/>
      <c r="AB85" s="25"/>
      <c r="AC85" s="72"/>
      <c r="AD85" s="22" t="s">
        <v>124</v>
      </c>
      <c r="AE85" s="13" t="s">
        <v>327</v>
      </c>
      <c r="AF85" s="13"/>
      <c r="AG85" s="13"/>
      <c r="AH85" s="13" t="s">
        <v>124</v>
      </c>
      <c r="AI85" s="13" t="s">
        <v>512</v>
      </c>
      <c r="AJ85" s="13"/>
      <c r="AK85" s="13"/>
      <c r="AL85" s="13" t="s">
        <v>124</v>
      </c>
      <c r="AM85" s="27" t="s">
        <v>513</v>
      </c>
      <c r="AN85" s="28"/>
      <c r="AO85" s="29"/>
      <c r="AP85" s="22" t="s">
        <v>124</v>
      </c>
      <c r="AQ85" s="27" t="s">
        <v>514</v>
      </c>
      <c r="AR85" s="28"/>
      <c r="AS85" s="13"/>
      <c r="AT85" s="13" t="s">
        <v>124</v>
      </c>
      <c r="AU85" s="13" t="s">
        <v>515</v>
      </c>
      <c r="AV85" s="13"/>
      <c r="AW85" s="13"/>
      <c r="AX85" s="13" t="s">
        <v>124</v>
      </c>
      <c r="AY85" s="13" t="s">
        <v>516</v>
      </c>
      <c r="AZ85" s="13"/>
      <c r="BA85" s="13"/>
      <c r="BB85" s="13" t="s">
        <v>124</v>
      </c>
      <c r="BC85" s="13" t="s">
        <v>517</v>
      </c>
      <c r="BD85" s="13"/>
      <c r="BE85" s="13"/>
      <c r="BF85" s="13" t="s">
        <v>124</v>
      </c>
      <c r="BG85" s="13" t="s">
        <v>518</v>
      </c>
      <c r="BH85" s="13"/>
      <c r="BI85" s="13"/>
      <c r="BJ85" s="13" t="s">
        <v>124</v>
      </c>
      <c r="BK85" s="13" t="s">
        <v>519</v>
      </c>
      <c r="BL85" s="13"/>
      <c r="BM85" s="13"/>
      <c r="BN85" s="13" t="s">
        <v>124</v>
      </c>
      <c r="BO85" s="13" t="s">
        <v>520</v>
      </c>
      <c r="BP85" s="13"/>
      <c r="BQ85" s="13"/>
      <c r="BR85" s="13" t="s">
        <v>124</v>
      </c>
      <c r="BS85" s="13" t="s">
        <v>521</v>
      </c>
      <c r="BT85" s="13"/>
      <c r="BU85" s="13"/>
      <c r="BV85" s="13" t="s">
        <v>124</v>
      </c>
      <c r="BW85" s="13" t="s">
        <v>522</v>
      </c>
      <c r="BX85" s="13"/>
      <c r="BY85" s="13"/>
    </row>
    <row r="86" spans="1:77" ht="15" thickBot="1" x14ac:dyDescent="0.35">
      <c r="A86" s="23"/>
      <c r="B86" s="55">
        <v>2020</v>
      </c>
      <c r="C86" s="15">
        <v>722078</v>
      </c>
      <c r="D86" s="15">
        <v>42</v>
      </c>
      <c r="E86" s="16">
        <f t="shared" si="27"/>
        <v>5.8165461349050931</v>
      </c>
      <c r="F86" s="17">
        <f t="shared" si="28"/>
        <v>1.7607066379728065</v>
      </c>
      <c r="G86" s="24"/>
      <c r="H86" s="70"/>
      <c r="I86" s="25"/>
      <c r="J86" s="25"/>
      <c r="K86" s="60"/>
      <c r="L86" s="15">
        <v>354692</v>
      </c>
      <c r="M86" s="15">
        <v>172</v>
      </c>
      <c r="N86" s="16">
        <f t="shared" si="29"/>
        <v>48.492776831730062</v>
      </c>
      <c r="O86" s="17">
        <f t="shared" si="30"/>
        <v>3.8814148555475345</v>
      </c>
      <c r="P86" s="24"/>
      <c r="Q86" s="70"/>
      <c r="R86" s="25"/>
      <c r="S86" s="25"/>
      <c r="T86" s="60"/>
      <c r="U86" s="15">
        <v>141792</v>
      </c>
      <c r="V86" s="15">
        <v>457</v>
      </c>
      <c r="W86" s="16">
        <f t="shared" si="31"/>
        <v>322.30309185285489</v>
      </c>
      <c r="X86" s="17">
        <f t="shared" si="32"/>
        <v>5.7754923818652175</v>
      </c>
      <c r="Y86" s="24"/>
      <c r="Z86" s="70"/>
      <c r="AA86" s="25"/>
      <c r="AB86" s="25"/>
      <c r="AC86" s="72"/>
      <c r="AD86" s="22" t="s">
        <v>137</v>
      </c>
      <c r="AE86" s="13" t="s">
        <v>138</v>
      </c>
      <c r="AF86" s="13"/>
      <c r="AG86" s="13"/>
      <c r="AH86" s="13" t="s">
        <v>137</v>
      </c>
      <c r="AI86" s="13" t="s">
        <v>138</v>
      </c>
      <c r="AJ86" s="13"/>
      <c r="AK86" s="13"/>
      <c r="AL86" s="13" t="s">
        <v>137</v>
      </c>
      <c r="AM86" s="27" t="s">
        <v>138</v>
      </c>
      <c r="AN86" s="28"/>
      <c r="AO86" s="29"/>
      <c r="AP86" s="22" t="s">
        <v>137</v>
      </c>
      <c r="AQ86" s="27" t="s">
        <v>138</v>
      </c>
      <c r="AR86" s="28"/>
      <c r="AS86" s="13"/>
      <c r="AT86" s="13" t="s">
        <v>137</v>
      </c>
      <c r="AU86" s="13" t="s">
        <v>138</v>
      </c>
      <c r="AV86" s="13"/>
      <c r="AW86" s="13"/>
      <c r="AX86" s="13" t="s">
        <v>137</v>
      </c>
      <c r="AY86" s="13" t="s">
        <v>138</v>
      </c>
      <c r="AZ86" s="13"/>
      <c r="BA86" s="13"/>
      <c r="BB86" s="13" t="s">
        <v>137</v>
      </c>
      <c r="BC86" s="13" t="s">
        <v>138</v>
      </c>
      <c r="BD86" s="13"/>
      <c r="BE86" s="13"/>
      <c r="BF86" s="13" t="s">
        <v>137</v>
      </c>
      <c r="BG86" s="13" t="s">
        <v>138</v>
      </c>
      <c r="BH86" s="13"/>
      <c r="BI86" s="13"/>
      <c r="BJ86" s="13" t="s">
        <v>137</v>
      </c>
      <c r="BK86" s="13" t="s">
        <v>138</v>
      </c>
      <c r="BL86" s="13"/>
      <c r="BM86" s="13"/>
      <c r="BN86" s="13" t="s">
        <v>137</v>
      </c>
      <c r="BO86" s="13" t="s">
        <v>138</v>
      </c>
      <c r="BP86" s="13"/>
      <c r="BQ86" s="13"/>
      <c r="BR86" s="13" t="s">
        <v>137</v>
      </c>
      <c r="BS86" s="13" t="s">
        <v>138</v>
      </c>
      <c r="BT86" s="13"/>
      <c r="BU86" s="13"/>
      <c r="BV86" s="13" t="s">
        <v>137</v>
      </c>
      <c r="BW86" s="13" t="s">
        <v>138</v>
      </c>
      <c r="BX86" s="13"/>
      <c r="BY86" s="13"/>
    </row>
    <row r="87" spans="1:77" ht="15" thickBot="1" x14ac:dyDescent="0.35">
      <c r="A87" s="30"/>
      <c r="B87" s="55">
        <v>2021</v>
      </c>
      <c r="C87" s="15">
        <v>736382</v>
      </c>
      <c r="D87" s="15">
        <v>44</v>
      </c>
      <c r="E87" s="16">
        <f t="shared" si="27"/>
        <v>5.9751596318215281</v>
      </c>
      <c r="F87" s="17">
        <f t="shared" si="28"/>
        <v>1.7876108140835416</v>
      </c>
      <c r="G87" s="31"/>
      <c r="H87" s="73"/>
      <c r="I87" s="32"/>
      <c r="J87" s="32"/>
      <c r="K87" s="61"/>
      <c r="L87" s="15">
        <v>365799</v>
      </c>
      <c r="M87" s="15">
        <v>178</v>
      </c>
      <c r="N87" s="16">
        <f t="shared" si="29"/>
        <v>48.660603227455518</v>
      </c>
      <c r="O87" s="17">
        <f t="shared" si="30"/>
        <v>3.8848697340614291</v>
      </c>
      <c r="P87" s="31"/>
      <c r="Q87" s="73"/>
      <c r="R87" s="32"/>
      <c r="S87" s="32"/>
      <c r="T87" s="61"/>
      <c r="U87" s="15">
        <v>142573</v>
      </c>
      <c r="V87" s="15">
        <v>437</v>
      </c>
      <c r="W87" s="16">
        <f t="shared" si="31"/>
        <v>306.50964768925394</v>
      </c>
      <c r="X87" s="17">
        <f t="shared" si="32"/>
        <v>5.7252492318441854</v>
      </c>
      <c r="Y87" s="31"/>
      <c r="Z87" s="73"/>
      <c r="AA87" s="32"/>
      <c r="AB87" s="32"/>
      <c r="AC87" s="75"/>
    </row>
    <row r="88" spans="1:77" ht="15.6" thickTop="1" thickBot="1" x14ac:dyDescent="0.35">
      <c r="A88" s="34" t="s">
        <v>139</v>
      </c>
      <c r="B88" s="35">
        <v>2016</v>
      </c>
      <c r="C88" s="35">
        <v>1559745</v>
      </c>
      <c r="D88" s="35">
        <v>92</v>
      </c>
      <c r="E88" s="16">
        <f t="shared" si="27"/>
        <v>5.8984000589840004</v>
      </c>
      <c r="F88" s="17">
        <f t="shared" si="28"/>
        <v>1.7746811376933038</v>
      </c>
      <c r="G88" s="36">
        <v>2.8899999999999999E-2</v>
      </c>
      <c r="H88" s="67">
        <f t="shared" si="24"/>
        <v>2.9321657162634684</v>
      </c>
      <c r="I88" s="20">
        <f>(EXP(-0.015) - 1) * 100</f>
        <v>-1.4888060396937353</v>
      </c>
      <c r="J88" s="20">
        <f>(EXP(0.073) - 1) * 100</f>
        <v>7.5730536914703439</v>
      </c>
      <c r="K88" s="62">
        <v>0.1426</v>
      </c>
      <c r="L88" s="35">
        <v>752993</v>
      </c>
      <c r="M88" s="35">
        <v>470</v>
      </c>
      <c r="N88" s="16">
        <f t="shared" si="29"/>
        <v>62.417578915076234</v>
      </c>
      <c r="O88" s="17">
        <f t="shared" si="30"/>
        <v>4.1338469490842495</v>
      </c>
      <c r="P88" s="36">
        <v>1.06E-2</v>
      </c>
      <c r="Q88" s="67">
        <f t="shared" si="25"/>
        <v>1.0656379029815977</v>
      </c>
      <c r="R88" s="20">
        <f>(EXP(-0.04) - 1) * 100</f>
        <v>-3.9210560847676823</v>
      </c>
      <c r="S88" s="20">
        <f>(EXP(0.061)-1)*100</f>
        <v>6.2898914187195176</v>
      </c>
      <c r="T88" s="62">
        <v>0.58940000000000003</v>
      </c>
      <c r="U88" s="35">
        <v>306619</v>
      </c>
      <c r="V88" s="35">
        <v>1312</v>
      </c>
      <c r="W88" s="16">
        <f t="shared" si="31"/>
        <v>427.89259634921518</v>
      </c>
      <c r="X88" s="17">
        <f t="shared" si="32"/>
        <v>6.0588722209809962</v>
      </c>
      <c r="Y88" s="36">
        <v>1.03E-2</v>
      </c>
      <c r="Z88" s="67">
        <f t="shared" si="26"/>
        <v>1.035322759109647</v>
      </c>
      <c r="AA88" s="20">
        <f>(EXP(-0.011) - 1) * 100</f>
        <v>-1.0939721224631271</v>
      </c>
      <c r="AB88" s="20">
        <f>(EXP(0.032) - 1) * 100</f>
        <v>3.2517505305118322</v>
      </c>
      <c r="AC88" s="76">
        <v>0.25869999999999999</v>
      </c>
      <c r="AD88" s="79"/>
    </row>
    <row r="89" spans="1:77" ht="15" thickBot="1" x14ac:dyDescent="0.35">
      <c r="A89" s="38"/>
      <c r="B89" s="35">
        <v>2017</v>
      </c>
      <c r="C89" s="35">
        <v>1618161</v>
      </c>
      <c r="D89" s="35">
        <v>87</v>
      </c>
      <c r="E89" s="16">
        <f t="shared" si="27"/>
        <v>5.3764736636218524</v>
      </c>
      <c r="F89" s="17">
        <f t="shared" si="28"/>
        <v>1.6820327064121654</v>
      </c>
      <c r="G89" s="39"/>
      <c r="H89" s="70"/>
      <c r="I89" s="25"/>
      <c r="J89" s="25"/>
      <c r="K89" s="63"/>
      <c r="L89" s="35">
        <v>782292</v>
      </c>
      <c r="M89" s="35">
        <v>442</v>
      </c>
      <c r="N89" s="16">
        <f t="shared" si="29"/>
        <v>56.50064170412071</v>
      </c>
      <c r="O89" s="17">
        <f t="shared" si="30"/>
        <v>4.034251995682955</v>
      </c>
      <c r="P89" s="39"/>
      <c r="Q89" s="70"/>
      <c r="R89" s="25"/>
      <c r="S89" s="25"/>
      <c r="T89" s="63"/>
      <c r="U89" s="35">
        <v>319106</v>
      </c>
      <c r="V89" s="35">
        <v>1282</v>
      </c>
      <c r="W89" s="16">
        <f t="shared" si="31"/>
        <v>401.74738174775786</v>
      </c>
      <c r="X89" s="17">
        <f t="shared" si="32"/>
        <v>5.9958234874781722</v>
      </c>
      <c r="Y89" s="39"/>
      <c r="Z89" s="70"/>
      <c r="AA89" s="25"/>
      <c r="AB89" s="25"/>
      <c r="AC89" s="77"/>
      <c r="AD89" s="79"/>
    </row>
    <row r="90" spans="1:77" ht="15" thickBot="1" x14ac:dyDescent="0.35">
      <c r="A90" s="38"/>
      <c r="B90" s="35">
        <v>2018</v>
      </c>
      <c r="C90" s="35">
        <v>1675772</v>
      </c>
      <c r="D90" s="35">
        <v>98</v>
      </c>
      <c r="E90" s="16">
        <f t="shared" si="27"/>
        <v>5.8480509281692257</v>
      </c>
      <c r="F90" s="17">
        <f t="shared" si="28"/>
        <v>1.7661084310568258</v>
      </c>
      <c r="G90" s="39"/>
      <c r="H90" s="70"/>
      <c r="I90" s="25"/>
      <c r="J90" s="25"/>
      <c r="K90" s="63"/>
      <c r="L90" s="35">
        <v>814292</v>
      </c>
      <c r="M90" s="35">
        <v>447</v>
      </c>
      <c r="N90" s="16">
        <f t="shared" si="29"/>
        <v>54.894313096530489</v>
      </c>
      <c r="O90" s="17">
        <f t="shared" si="30"/>
        <v>4.0054097565658804</v>
      </c>
      <c r="P90" s="39"/>
      <c r="Q90" s="70"/>
      <c r="R90" s="25"/>
      <c r="S90" s="25"/>
      <c r="T90" s="63"/>
      <c r="U90" s="35">
        <v>332267</v>
      </c>
      <c r="V90" s="35">
        <v>1429</v>
      </c>
      <c r="W90" s="16">
        <f t="shared" si="31"/>
        <v>430.07581252426513</v>
      </c>
      <c r="X90" s="17">
        <f t="shared" si="32"/>
        <v>6.0639615013431101</v>
      </c>
      <c r="Y90" s="39"/>
      <c r="Z90" s="70"/>
      <c r="AA90" s="25"/>
      <c r="AB90" s="25"/>
      <c r="AC90" s="77"/>
      <c r="AD90" s="79"/>
    </row>
    <row r="91" spans="1:77" ht="15" thickBot="1" x14ac:dyDescent="0.35">
      <c r="A91" s="38"/>
      <c r="B91" s="35">
        <v>2019</v>
      </c>
      <c r="C91" s="35">
        <v>1732101</v>
      </c>
      <c r="D91" s="35">
        <v>99</v>
      </c>
      <c r="E91" s="16">
        <f t="shared" si="27"/>
        <v>5.7156020347543244</v>
      </c>
      <c r="F91" s="17">
        <f t="shared" si="28"/>
        <v>1.7431996346127414</v>
      </c>
      <c r="G91" s="39"/>
      <c r="H91" s="70"/>
      <c r="I91" s="25"/>
      <c r="J91" s="25"/>
      <c r="K91" s="63"/>
      <c r="L91" s="35">
        <v>849356</v>
      </c>
      <c r="M91" s="35">
        <v>526</v>
      </c>
      <c r="N91" s="16">
        <f t="shared" si="29"/>
        <v>61.929273473078425</v>
      </c>
      <c r="O91" s="17">
        <f t="shared" si="30"/>
        <v>4.1259929834598488</v>
      </c>
      <c r="P91" s="39"/>
      <c r="Q91" s="70"/>
      <c r="R91" s="25"/>
      <c r="S91" s="25"/>
      <c r="T91" s="63"/>
      <c r="U91" s="35">
        <v>345245</v>
      </c>
      <c r="V91" s="35">
        <v>1532</v>
      </c>
      <c r="W91" s="16">
        <f t="shared" si="31"/>
        <v>443.74284928094539</v>
      </c>
      <c r="X91" s="17">
        <f t="shared" si="32"/>
        <v>6.0952452263633274</v>
      </c>
      <c r="Y91" s="39"/>
      <c r="Z91" s="70"/>
      <c r="AA91" s="25"/>
      <c r="AB91" s="25"/>
      <c r="AC91" s="77"/>
      <c r="AD91" s="79"/>
    </row>
    <row r="92" spans="1:77" ht="15" thickBot="1" x14ac:dyDescent="0.35">
      <c r="A92" s="38"/>
      <c r="B92" s="35">
        <v>2020</v>
      </c>
      <c r="C92" s="35">
        <v>1783521</v>
      </c>
      <c r="D92" s="35">
        <v>120</v>
      </c>
      <c r="E92" s="16">
        <f t="shared" si="27"/>
        <v>6.7282639228806387</v>
      </c>
      <c r="F92" s="17">
        <f t="shared" si="28"/>
        <v>1.9063171494400066</v>
      </c>
      <c r="G92" s="39"/>
      <c r="H92" s="70"/>
      <c r="I92" s="25"/>
      <c r="J92" s="25"/>
      <c r="K92" s="63"/>
      <c r="L92" s="35">
        <v>884896</v>
      </c>
      <c r="M92" s="35">
        <v>499</v>
      </c>
      <c r="N92" s="16">
        <f t="shared" si="29"/>
        <v>56.39080750732289</v>
      </c>
      <c r="O92" s="17">
        <f t="shared" si="30"/>
        <v>4.0323061577613002</v>
      </c>
      <c r="P92" s="39"/>
      <c r="Q92" s="70"/>
      <c r="R92" s="25"/>
      <c r="S92" s="25"/>
      <c r="T92" s="63"/>
      <c r="U92" s="35">
        <v>355662</v>
      </c>
      <c r="V92" s="35">
        <v>1574</v>
      </c>
      <c r="W92" s="16">
        <f t="shared" si="31"/>
        <v>442.55501009385313</v>
      </c>
      <c r="X92" s="17">
        <f t="shared" si="32"/>
        <v>6.0925647733175952</v>
      </c>
      <c r="Y92" s="39"/>
      <c r="Z92" s="70"/>
      <c r="AA92" s="25"/>
      <c r="AB92" s="25"/>
      <c r="AC92" s="77"/>
      <c r="AD92" s="79"/>
    </row>
    <row r="93" spans="1:77" ht="15" thickBot="1" x14ac:dyDescent="0.35">
      <c r="A93" s="41"/>
      <c r="B93" s="35">
        <v>2021</v>
      </c>
      <c r="C93" s="35">
        <v>1825183</v>
      </c>
      <c r="D93" s="35">
        <v>115</v>
      </c>
      <c r="E93" s="16">
        <f t="shared" si="27"/>
        <v>6.3007380629777945</v>
      </c>
      <c r="F93" s="17">
        <f t="shared" si="28"/>
        <v>1.8406667793892455</v>
      </c>
      <c r="G93" s="42"/>
      <c r="H93" s="73"/>
      <c r="I93" s="32"/>
      <c r="J93" s="32"/>
      <c r="K93" s="64"/>
      <c r="L93" s="35">
        <v>916746</v>
      </c>
      <c r="M93" s="35">
        <v>597</v>
      </c>
      <c r="N93" s="16">
        <f t="shared" si="29"/>
        <v>65.121636745619838</v>
      </c>
      <c r="O93" s="17">
        <f t="shared" si="30"/>
        <v>4.1762568556784823</v>
      </c>
      <c r="P93" s="42"/>
      <c r="Q93" s="73"/>
      <c r="R93" s="32"/>
      <c r="S93" s="32"/>
      <c r="T93" s="64"/>
      <c r="U93" s="35">
        <v>361565</v>
      </c>
      <c r="V93" s="35">
        <v>1572</v>
      </c>
      <c r="W93" s="16">
        <f t="shared" si="31"/>
        <v>434.77659618602468</v>
      </c>
      <c r="X93" s="17">
        <f t="shared" si="32"/>
        <v>6.074832327179271</v>
      </c>
      <c r="Y93" s="42"/>
      <c r="Z93" s="73"/>
      <c r="AA93" s="32"/>
      <c r="AB93" s="32"/>
      <c r="AC93" s="78"/>
      <c r="AD93" s="79"/>
    </row>
    <row r="96" spans="1:77" x14ac:dyDescent="0.3">
      <c r="H96" s="13"/>
      <c r="P96" s="13"/>
      <c r="Z96" s="13"/>
    </row>
  </sheetData>
  <mergeCells count="242">
    <mergeCell ref="Z88:Z93"/>
    <mergeCell ref="AA88:AA93"/>
    <mergeCell ref="AB88:AB93"/>
    <mergeCell ref="AC88:AC93"/>
    <mergeCell ref="P88:P93"/>
    <mergeCell ref="Q88:Q93"/>
    <mergeCell ref="R88:R93"/>
    <mergeCell ref="S88:S93"/>
    <mergeCell ref="T88:T93"/>
    <mergeCell ref="Y88:Y93"/>
    <mergeCell ref="Z82:Z87"/>
    <mergeCell ref="AA82:AA87"/>
    <mergeCell ref="AB82:AB87"/>
    <mergeCell ref="AC82:AC87"/>
    <mergeCell ref="A88:A93"/>
    <mergeCell ref="G88:G93"/>
    <mergeCell ref="H88:H93"/>
    <mergeCell ref="I88:I93"/>
    <mergeCell ref="J88:J93"/>
    <mergeCell ref="K88:K93"/>
    <mergeCell ref="P82:P87"/>
    <mergeCell ref="Q82:Q87"/>
    <mergeCell ref="R82:R87"/>
    <mergeCell ref="S82:S87"/>
    <mergeCell ref="T82:T87"/>
    <mergeCell ref="Y82:Y87"/>
    <mergeCell ref="Z76:Z81"/>
    <mergeCell ref="AA76:AA81"/>
    <mergeCell ref="AB76:AB81"/>
    <mergeCell ref="AC76:AC81"/>
    <mergeCell ref="A82:A87"/>
    <mergeCell ref="G82:G87"/>
    <mergeCell ref="H82:H87"/>
    <mergeCell ref="I82:I87"/>
    <mergeCell ref="J82:J87"/>
    <mergeCell ref="K82:K87"/>
    <mergeCell ref="P76:P81"/>
    <mergeCell ref="Q76:Q81"/>
    <mergeCell ref="R76:R81"/>
    <mergeCell ref="S76:S81"/>
    <mergeCell ref="T76:T81"/>
    <mergeCell ref="Y76:Y81"/>
    <mergeCell ref="Z70:Z75"/>
    <mergeCell ref="AA70:AA75"/>
    <mergeCell ref="AB70:AB75"/>
    <mergeCell ref="AC70:AC75"/>
    <mergeCell ref="A76:A81"/>
    <mergeCell ref="G76:G81"/>
    <mergeCell ref="H76:H81"/>
    <mergeCell ref="I76:I81"/>
    <mergeCell ref="J76:J81"/>
    <mergeCell ref="K76:K81"/>
    <mergeCell ref="P70:P75"/>
    <mergeCell ref="Q70:Q75"/>
    <mergeCell ref="R70:R75"/>
    <mergeCell ref="S70:S75"/>
    <mergeCell ref="T70:T75"/>
    <mergeCell ref="Y70:Y75"/>
    <mergeCell ref="A70:A75"/>
    <mergeCell ref="G70:G75"/>
    <mergeCell ref="H70:H75"/>
    <mergeCell ref="I70:I75"/>
    <mergeCell ref="J70:J75"/>
    <mergeCell ref="K70:K75"/>
    <mergeCell ref="BB68:BE68"/>
    <mergeCell ref="BF68:BI68"/>
    <mergeCell ref="BJ68:BM68"/>
    <mergeCell ref="BN68:BQ68"/>
    <mergeCell ref="BR68:BU68"/>
    <mergeCell ref="BV68:BY68"/>
    <mergeCell ref="AD68:AG68"/>
    <mergeCell ref="AH68:AK68"/>
    <mergeCell ref="AL68:AO68"/>
    <mergeCell ref="AP68:AS68"/>
    <mergeCell ref="AT68:AW68"/>
    <mergeCell ref="AX68:BA68"/>
    <mergeCell ref="Z55:Z60"/>
    <mergeCell ref="AA55:AA60"/>
    <mergeCell ref="AB55:AB60"/>
    <mergeCell ref="AC55:AC60"/>
    <mergeCell ref="C67:AC67"/>
    <mergeCell ref="A68:B68"/>
    <mergeCell ref="C68:K68"/>
    <mergeCell ref="L68:T68"/>
    <mergeCell ref="U68:AC68"/>
    <mergeCell ref="P55:P60"/>
    <mergeCell ref="Q55:Q60"/>
    <mergeCell ref="R55:R60"/>
    <mergeCell ref="S55:S60"/>
    <mergeCell ref="T55:T60"/>
    <mergeCell ref="Y55:Y60"/>
    <mergeCell ref="Z49:Z54"/>
    <mergeCell ref="AA49:AA54"/>
    <mergeCell ref="AB49:AB54"/>
    <mergeCell ref="AC49:AC54"/>
    <mergeCell ref="A55:A60"/>
    <mergeCell ref="G55:G60"/>
    <mergeCell ref="H55:H60"/>
    <mergeCell ref="I55:I60"/>
    <mergeCell ref="J55:J60"/>
    <mergeCell ref="K55:K60"/>
    <mergeCell ref="P49:P54"/>
    <mergeCell ref="Q49:Q54"/>
    <mergeCell ref="R49:R54"/>
    <mergeCell ref="S49:S54"/>
    <mergeCell ref="T49:T54"/>
    <mergeCell ref="Y49:Y54"/>
    <mergeCell ref="Z43:Z48"/>
    <mergeCell ref="AA43:AA48"/>
    <mergeCell ref="AB43:AB48"/>
    <mergeCell ref="AC43:AC48"/>
    <mergeCell ref="A49:A54"/>
    <mergeCell ref="G49:G54"/>
    <mergeCell ref="H49:H54"/>
    <mergeCell ref="I49:I54"/>
    <mergeCell ref="J49:J54"/>
    <mergeCell ref="K49:K54"/>
    <mergeCell ref="P43:P48"/>
    <mergeCell ref="Q43:Q48"/>
    <mergeCell ref="R43:R48"/>
    <mergeCell ref="S43:S48"/>
    <mergeCell ref="T43:T48"/>
    <mergeCell ref="Y43:Y48"/>
    <mergeCell ref="Z37:Z42"/>
    <mergeCell ref="AA37:AA42"/>
    <mergeCell ref="AB37:AB42"/>
    <mergeCell ref="AC37:AC42"/>
    <mergeCell ref="A43:A48"/>
    <mergeCell ref="G43:G48"/>
    <mergeCell ref="H43:H48"/>
    <mergeCell ref="I43:I48"/>
    <mergeCell ref="J43:J48"/>
    <mergeCell ref="K43:K48"/>
    <mergeCell ref="P37:P42"/>
    <mergeCell ref="Q37:Q42"/>
    <mergeCell ref="R37:R42"/>
    <mergeCell ref="S37:S42"/>
    <mergeCell ref="T37:T42"/>
    <mergeCell ref="Y37:Y42"/>
    <mergeCell ref="A37:A42"/>
    <mergeCell ref="G37:G42"/>
    <mergeCell ref="H37:H42"/>
    <mergeCell ref="I37:I42"/>
    <mergeCell ref="J37:J42"/>
    <mergeCell ref="K37:K42"/>
    <mergeCell ref="BB35:BE35"/>
    <mergeCell ref="BF35:BI35"/>
    <mergeCell ref="BJ35:BM35"/>
    <mergeCell ref="BN35:BQ35"/>
    <mergeCell ref="BR35:BU35"/>
    <mergeCell ref="BV35:BY35"/>
    <mergeCell ref="AD35:AG35"/>
    <mergeCell ref="AH35:AK35"/>
    <mergeCell ref="AL35:AO35"/>
    <mergeCell ref="AP35:AS35"/>
    <mergeCell ref="AT35:AW35"/>
    <mergeCell ref="AX35:BA35"/>
    <mergeCell ref="Z21:Z26"/>
    <mergeCell ref="AA21:AA26"/>
    <mergeCell ref="AB21:AB26"/>
    <mergeCell ref="AC21:AC26"/>
    <mergeCell ref="C34:AC34"/>
    <mergeCell ref="A35:B35"/>
    <mergeCell ref="C35:K35"/>
    <mergeCell ref="L35:T35"/>
    <mergeCell ref="U35:AC35"/>
    <mergeCell ref="P21:P26"/>
    <mergeCell ref="Q21:Q26"/>
    <mergeCell ref="R21:R26"/>
    <mergeCell ref="S21:S26"/>
    <mergeCell ref="T21:T26"/>
    <mergeCell ref="Y21:Y26"/>
    <mergeCell ref="Z15:Z20"/>
    <mergeCell ref="AA15:AA20"/>
    <mergeCell ref="AB15:AB20"/>
    <mergeCell ref="AC15:AC20"/>
    <mergeCell ref="A21:A26"/>
    <mergeCell ref="G21:G26"/>
    <mergeCell ref="H21:H26"/>
    <mergeCell ref="I21:I26"/>
    <mergeCell ref="J21:J26"/>
    <mergeCell ref="K21:K26"/>
    <mergeCell ref="P15:P20"/>
    <mergeCell ref="Q15:Q20"/>
    <mergeCell ref="R15:R20"/>
    <mergeCell ref="S15:S20"/>
    <mergeCell ref="T15:T20"/>
    <mergeCell ref="Y15:Y20"/>
    <mergeCell ref="Z9:Z14"/>
    <mergeCell ref="AA9:AA14"/>
    <mergeCell ref="AB9:AB14"/>
    <mergeCell ref="AC9:AC14"/>
    <mergeCell ref="A15:A20"/>
    <mergeCell ref="G15:G20"/>
    <mergeCell ref="H15:H20"/>
    <mergeCell ref="I15:I20"/>
    <mergeCell ref="J15:J20"/>
    <mergeCell ref="K15:K20"/>
    <mergeCell ref="P9:P14"/>
    <mergeCell ref="Q9:Q14"/>
    <mergeCell ref="R9:R14"/>
    <mergeCell ref="S9:S14"/>
    <mergeCell ref="T9:T14"/>
    <mergeCell ref="Y9:Y14"/>
    <mergeCell ref="Z3:Z8"/>
    <mergeCell ref="AA3:AA8"/>
    <mergeCell ref="AB3:AB8"/>
    <mergeCell ref="AC3:AC8"/>
    <mergeCell ref="A9:A14"/>
    <mergeCell ref="G9:G14"/>
    <mergeCell ref="H9:H14"/>
    <mergeCell ref="I9:I14"/>
    <mergeCell ref="J9:J14"/>
    <mergeCell ref="K9:K14"/>
    <mergeCell ref="P3:P8"/>
    <mergeCell ref="Q3:Q8"/>
    <mergeCell ref="R3:R8"/>
    <mergeCell ref="S3:S8"/>
    <mergeCell ref="T3:T8"/>
    <mergeCell ref="Y3:Y8"/>
    <mergeCell ref="BJ1:BM1"/>
    <mergeCell ref="BN1:BQ1"/>
    <mergeCell ref="BR1:BU1"/>
    <mergeCell ref="BV1:BY1"/>
    <mergeCell ref="A3:A8"/>
    <mergeCell ref="G3:G8"/>
    <mergeCell ref="H3:H8"/>
    <mergeCell ref="I3:I8"/>
    <mergeCell ref="J3:J8"/>
    <mergeCell ref="K3:K8"/>
    <mergeCell ref="AL1:AO1"/>
    <mergeCell ref="AP1:AS1"/>
    <mergeCell ref="AT1:AW1"/>
    <mergeCell ref="AX1:BA1"/>
    <mergeCell ref="BB1:BE1"/>
    <mergeCell ref="BF1:BI1"/>
    <mergeCell ref="A1:B1"/>
    <mergeCell ref="D1:K1"/>
    <mergeCell ref="M1:T1"/>
    <mergeCell ref="V1:AC1"/>
    <mergeCell ref="AD1:AG1"/>
    <mergeCell ref="AH1:AK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sudeste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Nathalya Rocha</dc:creator>
  <cp:lastModifiedBy>Nathalya Rocha</cp:lastModifiedBy>
  <dcterms:created xsi:type="dcterms:W3CDTF">2026-01-20T20:46:24Z</dcterms:created>
  <dcterms:modified xsi:type="dcterms:W3CDTF">2026-01-20T20:46:54Z</dcterms:modified>
</cp:coreProperties>
</file>